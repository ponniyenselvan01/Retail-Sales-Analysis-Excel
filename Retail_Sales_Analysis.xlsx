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nni\Downloads\Projects\Retail-Sales-Analysis-Excel\"/>
    </mc:Choice>
  </mc:AlternateContent>
  <xr:revisionPtr revIDLastSave="0" documentId="13_ncr:1_{641934EB-9390-493A-8CB7-6831DAA92AC6}" xr6:coauthVersionLast="47" xr6:coauthVersionMax="47" xr10:uidLastSave="{00000000-0000-0000-0000-000000000000}"/>
  <bookViews>
    <workbookView xWindow="-108" yWindow="-108" windowWidth="23256" windowHeight="13176" firstSheet="2" activeTab="6" xr2:uid="{71389D78-5636-4431-BE24-39F28FB92B57}"/>
  </bookViews>
  <sheets>
    <sheet name="Pivot_Analysis" sheetId="3" r:id="rId1"/>
    <sheet name="Pivot_Monthly" sheetId="4" r:id="rId2"/>
    <sheet name="Pivot_City" sheetId="5" r:id="rId3"/>
    <sheet name="Pivot_Product" sheetId="6" r:id="rId4"/>
    <sheet name="Raw_Data" sheetId="1" r:id="rId5"/>
    <sheet name="Analysis" sheetId="2" r:id="rId6"/>
    <sheet name="Dashboard" sheetId="7" r:id="rId7"/>
  </sheets>
  <calcPr calcId="191029"/>
  <pivotCaches>
    <pivotCache cacheId="9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7" l="1"/>
  <c r="I6" i="7"/>
  <c r="G6" i="7"/>
  <c r="E6" i="7"/>
  <c r="C6" i="7"/>
  <c r="D35" i="2"/>
  <c r="D36" i="2"/>
  <c r="D37" i="2"/>
  <c r="D38" i="2"/>
  <c r="D39" i="2"/>
  <c r="D40" i="2"/>
  <c r="D34" i="2"/>
  <c r="C35" i="2"/>
  <c r="C36" i="2"/>
  <c r="C37" i="2"/>
  <c r="C38" i="2"/>
  <c r="C39" i="2"/>
  <c r="C40" i="2"/>
  <c r="C34" i="2"/>
  <c r="B35" i="2"/>
  <c r="B36" i="2"/>
  <c r="B37" i="2"/>
  <c r="B38" i="2"/>
  <c r="B39" i="2"/>
  <c r="B40" i="2"/>
  <c r="B34" i="2"/>
  <c r="D25" i="2"/>
  <c r="D26" i="2"/>
  <c r="D27" i="2"/>
  <c r="D28" i="2"/>
  <c r="D24" i="2"/>
  <c r="C25" i="2"/>
  <c r="C26" i="2"/>
  <c r="C27" i="2"/>
  <c r="C28" i="2"/>
  <c r="C24" i="2"/>
  <c r="B25" i="2"/>
  <c r="B26" i="2"/>
  <c r="B27" i="2"/>
  <c r="B28" i="2"/>
  <c r="B24" i="2"/>
  <c r="D19" i="2"/>
  <c r="D20" i="2"/>
  <c r="C19" i="2"/>
  <c r="C20" i="2"/>
  <c r="C18" i="2"/>
  <c r="B19" i="2"/>
  <c r="B20" i="2"/>
  <c r="B18" i="2"/>
  <c r="B12" i="2"/>
  <c r="B11" i="2"/>
  <c r="E12" i="2"/>
  <c r="E13" i="2"/>
  <c r="E11" i="2"/>
  <c r="C12" i="2"/>
  <c r="C13" i="2"/>
  <c r="C11" i="2"/>
  <c r="B13" i="2"/>
  <c r="B5" i="2"/>
  <c r="B4" i="2"/>
  <c r="B3" i="2"/>
  <c r="B2" i="2"/>
  <c r="B6" i="2" s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2" i="1"/>
  <c r="D12" i="2" l="1"/>
  <c r="D18" i="2"/>
  <c r="D11" i="2"/>
  <c r="D13" i="2"/>
  <c r="B7" i="2"/>
</calcChain>
</file>

<file path=xl/sharedStrings.xml><?xml version="1.0" encoding="utf-8"?>
<sst xmlns="http://schemas.openxmlformats.org/spreadsheetml/2006/main" count="250" uniqueCount="88">
  <si>
    <t>Order_ID</t>
  </si>
  <si>
    <t>Date</t>
  </si>
  <si>
    <t>Product</t>
  </si>
  <si>
    <t>Category</t>
  </si>
  <si>
    <t>Customer</t>
  </si>
  <si>
    <t>City</t>
  </si>
  <si>
    <t>Quantity</t>
  </si>
  <si>
    <t>Sales</t>
  </si>
  <si>
    <t>Profit</t>
  </si>
  <si>
    <t>ORD001</t>
  </si>
  <si>
    <t>Laptop</t>
  </si>
  <si>
    <t>Electronics</t>
  </si>
  <si>
    <t>Arun</t>
  </si>
  <si>
    <t>Chennai</t>
  </si>
  <si>
    <t>ORD002</t>
  </si>
  <si>
    <t>Mouse</t>
  </si>
  <si>
    <t>Accessories</t>
  </si>
  <si>
    <t>Ravi</t>
  </si>
  <si>
    <t>Madurai</t>
  </si>
  <si>
    <t>ORD003</t>
  </si>
  <si>
    <t>Office Chair</t>
  </si>
  <si>
    <t>Furniture</t>
  </si>
  <si>
    <t>Kumar</t>
  </si>
  <si>
    <t>ORD004</t>
  </si>
  <si>
    <t>Keyboard</t>
  </si>
  <si>
    <t>Priya</t>
  </si>
  <si>
    <t>Coimbatore</t>
  </si>
  <si>
    <t>ORD005</t>
  </si>
  <si>
    <t>Monitor</t>
  </si>
  <si>
    <t>Anjali</t>
  </si>
  <si>
    <t>ORD006</t>
  </si>
  <si>
    <t>Desk</t>
  </si>
  <si>
    <t>Suresh</t>
  </si>
  <si>
    <t>Trichy</t>
  </si>
  <si>
    <t>ORD007</t>
  </si>
  <si>
    <t>Meena</t>
  </si>
  <si>
    <t>ORD008</t>
  </si>
  <si>
    <t>Headphones</t>
  </si>
  <si>
    <t>Vijay</t>
  </si>
  <si>
    <t>ORD009</t>
  </si>
  <si>
    <t>Divya</t>
  </si>
  <si>
    <t>ORD010</t>
  </si>
  <si>
    <t>Salem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</si>
  <si>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</si>
  <si>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</si>
  <si>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</si>
  <si>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</si>
  <si>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</si>
  <si>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</si>
  <si>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</si>
  <si>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</si>
  <si>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</si>
  <si>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</si>
  <si>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</si>
  <si>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</si>
  <si>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</si>
  <si>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</si>
  <si>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</si>
  <si>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</si>
  <si>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</si>
  <si>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</si>
  <si>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</si>
  <si>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</si>
  <si>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Profit_Margin</t>
  </si>
  <si>
    <t>Month</t>
  </si>
  <si>
    <t>KPI</t>
  </si>
  <si>
    <t>Value</t>
  </si>
  <si>
    <t>Total Sales</t>
  </si>
  <si>
    <t>Total Profit</t>
  </si>
  <si>
    <t>Total Quantity</t>
  </si>
  <si>
    <t>Number of Orders</t>
  </si>
  <si>
    <t>Average Order Value</t>
  </si>
  <si>
    <t>Overall Profit Margin</t>
  </si>
  <si>
    <t>Profit Margin</t>
  </si>
  <si>
    <t>Jan</t>
  </si>
  <si>
    <t>Feb</t>
  </si>
  <si>
    <t>Mar</t>
  </si>
  <si>
    <t>Row Labels</t>
  </si>
  <si>
    <t>Grand Total</t>
  </si>
  <si>
    <t>Sum of Sales</t>
  </si>
  <si>
    <t>Sum of Profit</t>
  </si>
  <si>
    <t>Retail Sales Dashboard</t>
  </si>
  <si>
    <t>Sales Performance Analysis | January–March 2025</t>
  </si>
  <si>
    <t>Business Insights</t>
  </si>
  <si>
    <t>January recorded the highest monthly sales: ₹2,16,200</t>
  </si>
  <si>
    <t>Electronics generated the highest sales: ₹4,02,700</t>
  </si>
  <si>
    <t>Chennai generated the highest city sales: ₹2,31,300</t>
  </si>
  <si>
    <t>Accessories had the highest profit margin: 28.51%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</si>
</sst>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8" formatCode="_ * #,##0_ ;_ * \-#,##0_ ;_ * &quot;-&quot;??_ ;_ @_ "/>
    <numFmt numFmtId="173" formatCode="&quot;₹&quot;\ #,##0.0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2" fontId="0" fillId="0" borderId="0" xfId="0" applyNumberFormat="1"/>
    <xf numFmtId="1" fontId="0" fillId="0" borderId="0" xfId="0" applyNumberFormat="1"/>
    <xf numFmtId="49" fontId="0" fillId="0" borderId="0" xfId="0" applyNumberFormat="1"/>
    <xf numFmtId="10" fontId="0" fillId="0" borderId="0" xfId="0" applyNumberFormat="1"/>
    <xf numFmtId="0" fontId="0" fillId="0" borderId="0" xfId="0" applyNumberFormat="1"/>
    <xf numFmtId="168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0" fillId="0" borderId="1" xfId="0" applyBorder="1"/>
    <xf numFmtId="173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12">
    <dxf>
      <numFmt numFmtId="0" formatCode="General"/>
    </dxf>
    <dxf>
      <numFmt numFmtId="14" formatCode="0.00%"/>
    </dxf>
    <dxf>
      <numFmt numFmtId="1" formatCode="0"/>
    </dxf>
    <dxf>
      <numFmt numFmtId="30" formatCode="@"/>
    </dxf>
    <dxf>
      <numFmt numFmtId="2" formatCode="0.00"/>
    </dxf>
    <dxf>
      <numFmt numFmtId="30" formatCode="@"/>
    </dxf>
    <dxf>
      <numFmt numFmtId="30" formatCode="@"/>
    </dxf>
    <dxf>
      <numFmt numFmtId="30" formatCode="@"/>
    </dxf>
    <dxf>
      <numFmt numFmtId="19" formatCode="dd/mm/yyyy"/>
    </dxf>
    <dxf>
      <numFmt numFmtId="30" formatCode="@"/>
    </dxf>
    <dxf>
      <numFmt numFmtId="1" formatCode="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Pivot_Analysis!$B$4:$B$7</c:f>
              <c:numCache>
                <c:formatCode>0</c:formatCode>
                <c:ptCount val="3"/>
                <c:pt idx="0">
                  <c:v>34200</c:v>
                </c:pt>
                <c:pt idx="1">
                  <c:v>402700</c:v>
                </c:pt>
                <c:pt idx="2">
                  <c:v>107800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F4-42C9-A02E-86D956BA04C6}"/>
            </c:ext>
          </c:extLst>
        </c:ser>
        <c:ser>
          <c:idx val="1"/>
          <c:order val="1"/>
          <c:tx>
            <c:strRef>
              <c:f>Pivot_Analysis!$C$3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Pivot_Analysis!$A$4:$A$7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Pivot_Analysis!$C$4:$C$7</c:f>
              <c:numCache>
                <c:formatCode>0</c:formatCode>
                <c:ptCount val="3"/>
                <c:pt idx="0">
                  <c:v>9750</c:v>
                </c:pt>
                <c:pt idx="1">
                  <c:v>53850</c:v>
                </c:pt>
                <c:pt idx="2">
                  <c:v>17800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F4-42C9-A02E-86D956BA04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073951"/>
        <c:axId val="1458902543"/>
      </c:barChart>
      <c:catAx>
        <c:axId val="160307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902543"/>
        <c:crosses val="autoZero"/>
        <c:auto val="1"/>
        <c:lblAlgn val="ctr"/>
        <c:lblOffset val="100"/>
        <c:noMultiLvlLbl val="0"/>
      </c:catAx>
      <c:valAx>
        <c:axId val="145890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07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[Retail_Sales_Analysis.xlsx]Pivot_Monthly!PivotTable2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Pivot_Monthly!$A$4:$A$7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Pivot_Monthly!$B$4:$B$7</c:f>
              <c:numCache>
                <c:formatCode>0</c:formatCode>
                <c:ptCount val="3"/>
                <c:pt idx="0">
                  <c:v>216200</c:v>
                </c:pt>
                <c:pt idx="1">
                  <c:v>186100</c:v>
                </c:pt>
                <c:pt idx="2">
                  <c:v>142400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CF-4ABE-9654-FE5A38A3980D}"/>
            </c:ext>
          </c:extLst>
        </c:ser>
        <c:ser>
          <c:idx val="1"/>
          <c:order val="1"/>
          <c:tx>
            <c:strRef>
              <c:f>Pivot_Monthly!$C$3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Pivot_Monthly!$A$4:$A$7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Pivot_Monthly!$C$4:$C$7</c:f>
              <c:numCache>
                <c:formatCode>0</c:formatCode>
                <c:ptCount val="3"/>
                <c:pt idx="0">
                  <c:v>32000</c:v>
                </c:pt>
                <c:pt idx="1">
                  <c:v>27550</c:v>
                </c:pt>
                <c:pt idx="2">
                  <c:v>21850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CF-4ABE-9654-FE5A38A398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326623"/>
        <c:axId val="1458934703"/>
      </c:lineChart>
      <c:catAx>
        <c:axId val="84932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934703"/>
        <c:crosses val="autoZero"/>
        <c:auto val="1"/>
        <c:lblAlgn val="ctr"/>
        <c:lblOffset val="100"/>
        <c:noMultiLvlLbl val="0"/>
      </c:catAx>
      <c:valAx>
        <c:axId val="14589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2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[Retail_Sales_Analysis.xlsx]Pivot_City!PivotTable3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Pivot_City!$B$3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Pivot_City!$A$4:$A$9</c:f>
              <c:strCache>
                <c:ptCount val="5"/>
                <c:pt idx="0">
                  <c:v>Chennai</c:v>
                </c:pt>
                <c:pt idx="1">
                  <c:v>Coimbatore</c:v>
                </c:pt>
                <c:pt idx="2">
                  <c:v>Madurai</c:v>
                </c:pt>
                <c:pt idx="3">
                  <c:v>Salem</c:v>
                </c:pt>
                <c:pt idx="4">
                  <c:v>Trichy</c:v>
                </c:pt>
              </c:strCache>
            </c:strRef>
          </c:cat>
          <c:val>
            <c:numRef>
              <c:f>Pivot_City!$B$4:$B$9</c:f>
              <c:numCache>
                <c:formatCode>0</c:formatCode>
                <c:ptCount val="5"/>
                <c:pt idx="0">
                  <c:v>231300</c:v>
                </c:pt>
                <c:pt idx="1">
                  <c:v>105000</c:v>
                </c:pt>
                <c:pt idx="2">
                  <c:v>111000</c:v>
                </c:pt>
                <c:pt idx="3">
                  <c:v>88400</c:v>
                </c:pt>
                <c:pt idx="4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1D-40DD-A6B3-AD2756E88571}"/>
            </c:ext>
          </c:extLst>
        </c:ser>
        <c:ser>
          <c:idx val="1"/>
          <c:order val="1"/>
          <c:tx>
            <c:strRef>
              <c:f>Pivot_City!$C$3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Pivot_City!$A$4:$A$9</c:f>
              <c:strCache>
                <c:ptCount val="5"/>
                <c:pt idx="0">
                  <c:v>Chennai</c:v>
                </c:pt>
                <c:pt idx="1">
                  <c:v>Coimbatore</c:v>
                </c:pt>
                <c:pt idx="2">
                  <c:v>Madurai</c:v>
                </c:pt>
                <c:pt idx="3">
                  <c:v>Salem</c:v>
                </c:pt>
                <c:pt idx="4">
                  <c:v>Trichy</c:v>
                </c:pt>
              </c:strCache>
            </c:strRef>
          </c:cat>
          <c:val>
            <c:numRef>
              <c:f>Pivot_City!$C$4:$C$9</c:f>
              <c:numCache>
                <c:formatCode>0</c:formatCode>
                <c:ptCount val="5"/>
                <c:pt idx="0">
                  <c:v>33500</c:v>
                </c:pt>
                <c:pt idx="1">
                  <c:v>15600</c:v>
                </c:pt>
                <c:pt idx="2">
                  <c:v>16850</c:v>
                </c:pt>
                <c:pt idx="3">
                  <c:v>13950</c:v>
                </c:pt>
                <c:pt idx="4">
                  <c:v>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1D-40DD-A6B3-AD2756E885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6821375"/>
        <c:axId val="1458995183"/>
      </c:barChart>
      <c:catAx>
        <c:axId val="1596821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995183"/>
        <c:crosses val="autoZero"/>
        <c:auto val="1"/>
        <c:lblAlgn val="ctr"/>
        <c:lblOffset val="100"/>
        <c:noMultiLvlLbl val="0"/>
      </c:catAx>
      <c:valAx>
        <c:axId val="145899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82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[Retail_Sales_Analysis.xlsx]Pivot_Product!PivotTable4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Pivot_Product!$B$3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Pivot_Product!$A$4:$A$11</c:f>
              <c:strCache>
                <c:ptCount val="7"/>
                <c:pt idx="0">
                  <c:v>Desk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Office Chair</c:v>
                </c:pt>
              </c:strCache>
            </c:strRef>
          </c:cat>
          <c:val>
            <c:numRef>
              <c:f>Pivot_Product!$B$4:$B$11</c:f>
              <c:numCache>
                <c:formatCode>0</c:formatCode>
                <c:ptCount val="7"/>
                <c:pt idx="0">
                  <c:v>55000</c:v>
                </c:pt>
                <c:pt idx="1">
                  <c:v>13000</c:v>
                </c:pt>
                <c:pt idx="2">
                  <c:v>15500</c:v>
                </c:pt>
                <c:pt idx="3">
                  <c:v>296000</c:v>
                </c:pt>
                <c:pt idx="4">
                  <c:v>106700</c:v>
                </c:pt>
                <c:pt idx="5">
                  <c:v>5700</c:v>
                </c:pt>
                <c:pt idx="6">
                  <c:v>52800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B0-4296-B7F4-EFF226402DA2}"/>
            </c:ext>
          </c:extLst>
        </c:ser>
        <c:ser>
          <c:idx val="1"/>
          <c:order val="1"/>
          <c:tx>
            <c:strRef>
              <c:f>Pivot_Product!$C$3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Pivot_Product!$A$4:$A$11</c:f>
              <c:strCache>
                <c:ptCount val="7"/>
                <c:pt idx="0">
                  <c:v>Desk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Office Chair</c:v>
                </c:pt>
              </c:strCache>
            </c:strRef>
          </c:cat>
          <c:val>
            <c:numRef>
              <c:f>Pivot_Product!$C$4:$C$11</c:f>
              <c:numCache>
                <c:formatCode>0</c:formatCode>
                <c:ptCount val="7"/>
                <c:pt idx="0">
                  <c:v>9150</c:v>
                </c:pt>
                <c:pt idx="1">
                  <c:v>3700</c:v>
                </c:pt>
                <c:pt idx="2">
                  <c:v>4250</c:v>
                </c:pt>
                <c:pt idx="3">
                  <c:v>39500</c:v>
                </c:pt>
                <c:pt idx="4">
                  <c:v>14350</c:v>
                </c:pt>
                <c:pt idx="5">
                  <c:v>1800</c:v>
                </c:pt>
                <c:pt idx="6">
                  <c:v>8650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B0-4296-B7F4-EFF226402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4828815"/>
        <c:axId val="1458985103"/>
      </c:barChart>
      <c:catAx>
        <c:axId val="43482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985103"/>
        <c:crosses val="autoZero"/>
        <c:auto val="1"/>
        <c:lblAlgn val="ctr"/>
        <c:lblOffset val="100"/>
        <c:noMultiLvlLbl val="0"/>
      </c:catAx>
      <c:valAx>
        <c:axId val="145898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[Retail_Sales_Analysis.xlsx]Pivot_Monthly!PivotTable2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Pivot_Monthly!$B$3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Pivot_Monthly!$A$4:$A$7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Pivot_Monthly!$B$4:$B$7</c:f>
              <c:numCache>
                <c:formatCode>0</c:formatCode>
                <c:ptCount val="3"/>
                <c:pt idx="0">
                  <c:v>216200</c:v>
                </c:pt>
                <c:pt idx="1">
                  <c:v>186100</c:v>
                </c:pt>
                <c:pt idx="2">
                  <c:v>142400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B2-4E26-9C60-E3B00F2CEB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9326623"/>
        <c:axId val="1458934703"/>
      </c:lineChart>
      <c:catAx>
        <c:axId val="8493266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934703"/>
        <c:crosses val="autoZero"/>
        <c:auto val="1"/>
        <c:lblAlgn val="ctr"/>
        <c:lblOffset val="100"/>
        <c:noMultiLvlLbl val="0"/>
      </c:catAx>
      <c:valAx>
        <c:axId val="1458934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32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[Retail_Sales_Analysis.xlsx]Pivot_Analysis!PivotTable1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Pivot_Analysis!$B$3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Pivot_Analysis!$A$4:$A$7</c:f>
              <c:strCache>
                <c:ptCount val="3"/>
                <c:pt idx="0">
                  <c:v>Accessories</c:v>
                </c:pt>
                <c:pt idx="1">
                  <c:v>Electronics</c:v>
                </c:pt>
                <c:pt idx="2">
                  <c:v>Furniture</c:v>
                </c:pt>
              </c:strCache>
            </c:strRef>
          </c:cat>
          <c:val>
            <c:numRef>
              <c:f>Pivot_Analysis!$B$4:$B$7</c:f>
              <c:numCache>
                <c:formatCode>0</c:formatCode>
                <c:ptCount val="3"/>
                <c:pt idx="0">
                  <c:v>34200</c:v>
                </c:pt>
                <c:pt idx="1">
                  <c:v>402700</c:v>
                </c:pt>
                <c:pt idx="2">
                  <c:v>107800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18-4390-9CCD-BAE61BA52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3073951"/>
        <c:axId val="1458902543"/>
      </c:barChart>
      <c:catAx>
        <c:axId val="1603073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902543"/>
        <c:crosses val="autoZero"/>
        <c:auto val="1"/>
        <c:lblAlgn val="ctr"/>
        <c:lblOffset val="100"/>
        <c:noMultiLvlLbl val="0"/>
      </c:catAx>
      <c:valAx>
        <c:axId val="1458902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073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[Retail_Sales_Analysis.xlsx]Pivot_City!PivotTable3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Pivot_City!$B$3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Pivot_City!$A$4:$A$9</c:f>
              <c:strCache>
                <c:ptCount val="5"/>
                <c:pt idx="0">
                  <c:v>Chennai</c:v>
                </c:pt>
                <c:pt idx="1">
                  <c:v>Coimbatore</c:v>
                </c:pt>
                <c:pt idx="2">
                  <c:v>Madurai</c:v>
                </c:pt>
                <c:pt idx="3">
                  <c:v>Salem</c:v>
                </c:pt>
                <c:pt idx="4">
                  <c:v>Trichy</c:v>
                </c:pt>
              </c:strCache>
            </c:strRef>
          </c:cat>
          <c:val>
            <c:numRef>
              <c:f>Pivot_City!$B$4:$B$9</c:f>
              <c:numCache>
                <c:formatCode>0</c:formatCode>
                <c:ptCount val="5"/>
                <c:pt idx="0">
                  <c:v>231300</c:v>
                </c:pt>
                <c:pt idx="1">
                  <c:v>105000</c:v>
                </c:pt>
                <c:pt idx="2">
                  <c:v>111000</c:v>
                </c:pt>
                <c:pt idx="3">
                  <c:v>88400</c:v>
                </c:pt>
                <c:pt idx="4">
                  <c:v>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A-4A94-A276-79D83BCBB5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96821375"/>
        <c:axId val="1458995183"/>
      </c:barChart>
      <c:catAx>
        <c:axId val="1596821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995183"/>
        <c:crosses val="autoZero"/>
        <c:auto val="1"/>
        <c:lblAlgn val="ctr"/>
        <c:lblOffset val="100"/>
        <c:noMultiLvlLbl val="0"/>
      </c:catAx>
      <c:valAx>
        <c:axId val="1458995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821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[Retail_Sales_Analysis.xlsx]Pivot_Product!PivotTable4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Pivot_Product!$B$3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Pivot_Product!$A$4:$A$11</c:f>
              <c:strCache>
                <c:ptCount val="7"/>
                <c:pt idx="0">
                  <c:v>Desk</c:v>
                </c:pt>
                <c:pt idx="1">
                  <c:v>Headphones</c:v>
                </c:pt>
                <c:pt idx="2">
                  <c:v>Keyboard</c:v>
                </c:pt>
                <c:pt idx="3">
                  <c:v>Laptop</c:v>
                </c:pt>
                <c:pt idx="4">
                  <c:v>Monitor</c:v>
                </c:pt>
                <c:pt idx="5">
                  <c:v>Mouse</c:v>
                </c:pt>
                <c:pt idx="6">
                  <c:v>Office Chair</c:v>
                </c:pt>
              </c:strCache>
            </c:strRef>
          </c:cat>
          <c:val>
            <c:numRef>
              <c:f>Pivot_Product!$B$4:$B$11</c:f>
              <c:numCache>
                <c:formatCode>0</c:formatCode>
                <c:ptCount val="7"/>
                <c:pt idx="0">
                  <c:v>55000</c:v>
                </c:pt>
                <c:pt idx="1">
                  <c:v>13000</c:v>
                </c:pt>
                <c:pt idx="2">
                  <c:v>15500</c:v>
                </c:pt>
                <c:pt idx="3">
                  <c:v>296000</c:v>
                </c:pt>
                <c:pt idx="4">
                  <c:v>106700</c:v>
                </c:pt>
                <c:pt idx="5">
                  <c:v>5700</c:v>
                </c:pt>
                <c:pt idx="6">
                  <c:v>52800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3F-4843-BAED-CB5B1E5655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34828815"/>
        <c:axId val="1458985103"/>
      </c:barChart>
      <c:catAx>
        <c:axId val="43482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8985103"/>
        <c:crosses val="autoZero"/>
        <c:auto val="1"/>
        <c:lblAlgn val="ctr"/>
        <c:lblOffset val="100"/>
        <c:noMultiLvlLbl val="0"/>
      </c:catAx>
      <c:valAx>
        <c:axId val="145898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828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</xdr:colOff>
      <xdr:row>1</xdr:row>
      <xdr:rowOff>133350</xdr:rowOff>
    </xdr:from>
    <xdr:to>
      <xdr:col>10</xdr:col>
      <xdr:colOff>350520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C91BB4-C401-1337-A333-053FB64C4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171450</xdr:rowOff>
    </xdr:from>
    <xdr:to>
      <xdr:col>11</xdr:col>
      <xdr:colOff>304800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06D9C9-BA45-2C7C-98D1-BDB8A5085A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3810</xdr:rowOff>
    </xdr:from>
    <xdr:to>
      <xdr:col>11</xdr:col>
      <xdr:colOff>312420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454445-34EE-0ACB-B2F5-938F7112E9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11430</xdr:rowOff>
    </xdr:from>
    <xdr:to>
      <xdr:col>11</xdr:col>
      <xdr:colOff>304800</xdr:colOff>
      <xdr:row>17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5309BC-E2B8-5174-4EE0-BCE65D7FD5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30480</xdr:colOff>
      <xdr:row>7</xdr:row>
      <xdr:rowOff>167640</xdr:rowOff>
    </xdr:from>
    <xdr:to>
      <xdr:col>3</xdr:col>
      <xdr:colOff>502920</xdr:colOff>
      <xdr:row>18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219685-791C-42C9-9CD7-209215A192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60960</xdr:colOff>
      <xdr:row>7</xdr:row>
      <xdr:rowOff>167640</xdr:rowOff>
    </xdr:from>
    <xdr:to>
      <xdr:col>8</xdr:col>
      <xdr:colOff>1211580</xdr:colOff>
      <xdr:row>18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2C6A7DC-68F4-4CF8-8651-962FB66FAF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30480</xdr:colOff>
      <xdr:row>19</xdr:row>
      <xdr:rowOff>0</xdr:rowOff>
    </xdr:from>
    <xdr:to>
      <xdr:col>3</xdr:col>
      <xdr:colOff>502920</xdr:colOff>
      <xdr:row>29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709796-84DA-4938-84F8-403457DB99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60960</xdr:colOff>
      <xdr:row>19</xdr:row>
      <xdr:rowOff>0</xdr:rowOff>
    </xdr:from>
    <xdr:to>
      <xdr:col>8</xdr:col>
      <xdr:colOff>1211580</xdr:colOff>
      <xdr:row>29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8BD6A7-70CC-49AC-B239-F11C3DB190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onniyen Selvan" refreshedDate="46297.994987731479" createdVersion="8" refreshedVersion="8" minRefreshableVersion="3" recordCount="30" xr:uid="{24323A29-CF4D-44D1-B5C2-B205C70E1AE3}">
  <cacheSource type="worksheet">
    <worksheetSource name="SalesData"/>
  </cacheSource>
  <cacheFields count="11">
    <cacheField name="Order_ID" numFmtId="49">
      <sharedItems/>
    </cacheField>
    <cacheField name="Date" numFmtId="14">
      <sharedItems containsSemiMixedTypes="0" containsNonDate="0" containsDate="1" containsString="0" minDate="2025-01-01T00:00:00" maxDate="2025-03-24T00:00:00"/>
    </cacheField>
    <cacheField name="Product" numFmtId="49">
      <sharedItems count="7">
        <s v="Laptop"/>
        <s v="Mouse"/>
        <s v="Office Chair"/>
        <s v="Keyboard"/>
        <s v="Monitor"/>
        <s v="Desk"/>
        <s v="Headphones"/>
      </sharedItems>
    </cacheField>
    <cacheField name="Category" numFmtId="49">
      <sharedItems count="3">
        <s v="Electronics"/>
        <s v="Accessories"/>
        <s v="Furniture"/>
      </sharedItems>
    </cacheField>
    <cacheField name="Customer" numFmtId="49">
      <sharedItems/>
    </cacheField>
    <cacheField name="City" numFmtId="49">
      <sharedItems count="5">
        <s v="Chennai"/>
        <s v="Madurai"/>
        <s v="Coimbatore"/>
        <s v="Trichy"/>
        <s v="Salem"/>
      </sharedItems>
    </cacheField>
    <cacheField name="Quantity" numFmtId="2">
      <sharedItems containsSemiMixedTypes="0" containsString="0" containsNumber="1" containsInteger="1" minValue="1" maxValue="3"/>
    </cacheField>
    <cacheField name="Sales" numFmtId="1">
      <sharedItems containsSemiMixedTypes="0" containsString="0" containsNumber="1" containsInteger="1" minValue="1600" maxValue="62000"/>
    </cacheField>
    <cacheField name="Profit" numFmtId="1">
      <sharedItems containsSemiMixedTypes="0" containsString="0" containsNumber="1" containsInteger="1" minValue="500" maxValue="8500"/>
    </cacheField>
    <cacheField name="Profit_Margin" numFmtId="10">
      <sharedItems containsSemiMixedTypes="0" containsString="0" containsNumber="1" minValue="0.12727272727272726" maxValue="0.3235294117647059"/>
    </cacheField>
    <cacheField name="Month" numFmtId="0">
      <sharedItems count="3">
        <s v="Jan"/>
        <s v="Feb"/>
        <s v="Ma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ORD001"/>
    <d v="2025-01-01T00:00:00"/>
    <x v="0"/>
    <x v="0"/>
    <s v="Arun"/>
    <x v="0"/>
    <n v="1"/>
    <n v="55000"/>
    <n v="7000"/>
    <n v="0.12727272727272726"/>
    <x v="0"/>
  </r>
  <r>
    <s v="ORD002"/>
    <d v="2025-01-02T00:00:00"/>
    <x v="1"/>
    <x v="1"/>
    <s v="Ravi"/>
    <x v="1"/>
    <n v="2"/>
    <n v="1600"/>
    <n v="500"/>
    <n v="0.3125"/>
    <x v="0"/>
  </r>
  <r>
    <s v="ORD003"/>
    <d v="2025-01-03T00:00:00"/>
    <x v="2"/>
    <x v="2"/>
    <s v="Kumar"/>
    <x v="0"/>
    <n v="1"/>
    <n v="7500"/>
    <n v="1200"/>
    <n v="0.16"/>
    <x v="0"/>
  </r>
  <r>
    <s v="ORD004"/>
    <d v="2025-01-05T00:00:00"/>
    <x v="3"/>
    <x v="1"/>
    <s v="Priya"/>
    <x v="2"/>
    <n v="1"/>
    <n v="2200"/>
    <n v="600"/>
    <n v="0.27272727272727271"/>
    <x v="0"/>
  </r>
  <r>
    <s v="ORD005"/>
    <d v="2025-01-07T00:00:00"/>
    <x v="4"/>
    <x v="0"/>
    <s v="Anjali"/>
    <x v="0"/>
    <n v="2"/>
    <n v="30000"/>
    <n v="4000"/>
    <n v="0.13333333333333333"/>
    <x v="0"/>
  </r>
  <r>
    <s v="ORD006"/>
    <d v="2025-01-09T00:00:00"/>
    <x v="5"/>
    <x v="2"/>
    <s v="Suresh"/>
    <x v="3"/>
    <n v="1"/>
    <n v="9000"/>
    <n v="1500"/>
    <n v="0.16666666666666666"/>
    <x v="0"/>
  </r>
  <r>
    <s v="ORD007"/>
    <d v="2025-01-12T00:00:00"/>
    <x v="0"/>
    <x v="0"/>
    <s v="Meena"/>
    <x v="1"/>
    <n v="1"/>
    <n v="62000"/>
    <n v="8500"/>
    <n v="0.13709677419354838"/>
    <x v="0"/>
  </r>
  <r>
    <s v="ORD008"/>
    <d v="2025-01-15T00:00:00"/>
    <x v="6"/>
    <x v="1"/>
    <s v="Vijay"/>
    <x v="2"/>
    <n v="2"/>
    <n v="5000"/>
    <n v="1400"/>
    <n v="0.28000000000000003"/>
    <x v="0"/>
  </r>
  <r>
    <s v="ORD009"/>
    <d v="2025-01-18T00:00:00"/>
    <x v="2"/>
    <x v="2"/>
    <s v="Divya"/>
    <x v="0"/>
    <n v="2"/>
    <n v="15000"/>
    <n v="2500"/>
    <n v="0.16666666666666666"/>
    <x v="0"/>
  </r>
  <r>
    <s v="ORD010"/>
    <d v="2025-01-20T00:00:00"/>
    <x v="3"/>
    <x v="1"/>
    <s v="Arun"/>
    <x v="4"/>
    <n v="2"/>
    <n v="4400"/>
    <n v="1200"/>
    <n v="0.27272727272727271"/>
    <x v="0"/>
  </r>
  <r>
    <s v="ORD011"/>
    <d v="2025-01-23T00:00:00"/>
    <x v="4"/>
    <x v="0"/>
    <s v="Ravi"/>
    <x v="0"/>
    <n v="1"/>
    <n v="15000"/>
    <n v="2000"/>
    <n v="0.13333333333333333"/>
    <x v="0"/>
  </r>
  <r>
    <s v="ORD012"/>
    <d v="2025-01-26T00:00:00"/>
    <x v="5"/>
    <x v="2"/>
    <s v="Priya"/>
    <x v="1"/>
    <n v="1"/>
    <n v="9500"/>
    <n v="1600"/>
    <n v="0.16842105263157894"/>
    <x v="0"/>
  </r>
  <r>
    <s v="ORD013"/>
    <d v="2025-02-02T00:00:00"/>
    <x v="0"/>
    <x v="0"/>
    <s v="Kumar"/>
    <x v="2"/>
    <n v="1"/>
    <n v="58000"/>
    <n v="7500"/>
    <n v="0.12931034482758622"/>
    <x v="1"/>
  </r>
  <r>
    <s v="ORD014"/>
    <d v="2025-02-04T00:00:00"/>
    <x v="1"/>
    <x v="1"/>
    <s v="Anjali"/>
    <x v="0"/>
    <n v="3"/>
    <n v="2400"/>
    <n v="750"/>
    <n v="0.3125"/>
    <x v="1"/>
  </r>
  <r>
    <s v="ORD015"/>
    <d v="2025-02-06T00:00:00"/>
    <x v="2"/>
    <x v="2"/>
    <s v="Suresh"/>
    <x v="4"/>
    <n v="1"/>
    <n v="7200"/>
    <n v="1100"/>
    <n v="0.15277777777777779"/>
    <x v="1"/>
  </r>
  <r>
    <s v="ORD016"/>
    <d v="2025-02-09T00:00:00"/>
    <x v="6"/>
    <x v="1"/>
    <s v="Meena"/>
    <x v="0"/>
    <n v="1"/>
    <n v="2800"/>
    <n v="800"/>
    <n v="0.2857142857142857"/>
    <x v="1"/>
  </r>
  <r>
    <s v="ORD017"/>
    <d v="2025-02-11T00:00:00"/>
    <x v="4"/>
    <x v="0"/>
    <s v="Vijay"/>
    <x v="1"/>
    <n v="2"/>
    <n v="31000"/>
    <n v="4200"/>
    <n v="0.13548387096774195"/>
    <x v="1"/>
  </r>
  <r>
    <s v="ORD018"/>
    <d v="2025-02-14T00:00:00"/>
    <x v="5"/>
    <x v="2"/>
    <s v="Divya"/>
    <x v="2"/>
    <n v="1"/>
    <n v="8800"/>
    <n v="1400"/>
    <n v="0.15909090909090909"/>
    <x v="1"/>
  </r>
  <r>
    <s v="ORD019"/>
    <d v="2025-02-17T00:00:00"/>
    <x v="0"/>
    <x v="0"/>
    <s v="Arun"/>
    <x v="0"/>
    <n v="1"/>
    <n v="60000"/>
    <n v="8200"/>
    <n v="0.13666666666666666"/>
    <x v="1"/>
  </r>
  <r>
    <s v="ORD020"/>
    <d v="2025-02-20T00:00:00"/>
    <x v="3"/>
    <x v="1"/>
    <s v="Ravi"/>
    <x v="4"/>
    <n v="3"/>
    <n v="6600"/>
    <n v="1800"/>
    <n v="0.27272727272727271"/>
    <x v="1"/>
  </r>
  <r>
    <s v="ORD021"/>
    <d v="2025-02-23T00:00:00"/>
    <x v="2"/>
    <x v="2"/>
    <s v="Priya"/>
    <x v="0"/>
    <n v="1"/>
    <n v="7600"/>
    <n v="1250"/>
    <n v="0.16447368421052633"/>
    <x v="1"/>
  </r>
  <r>
    <s v="ORD022"/>
    <d v="2025-02-26T00:00:00"/>
    <x v="1"/>
    <x v="1"/>
    <s v="Kumar"/>
    <x v="1"/>
    <n v="2"/>
    <n v="1700"/>
    <n v="550"/>
    <n v="0.3235294117647059"/>
    <x v="1"/>
  </r>
  <r>
    <s v="ORD023"/>
    <d v="2025-03-03T00:00:00"/>
    <x v="4"/>
    <x v="0"/>
    <s v="Anjali"/>
    <x v="2"/>
    <n v="1"/>
    <n v="15500"/>
    <n v="2100"/>
    <n v="0.13548387096774195"/>
    <x v="2"/>
  </r>
  <r>
    <s v="ORD024"/>
    <d v="2025-03-05T00:00:00"/>
    <x v="5"/>
    <x v="2"/>
    <s v="Suresh"/>
    <x v="0"/>
    <n v="2"/>
    <n v="18500"/>
    <n v="3100"/>
    <n v="0.16756756756756758"/>
    <x v="2"/>
  </r>
  <r>
    <s v="ORD025"/>
    <d v="2025-03-08T00:00:00"/>
    <x v="0"/>
    <x v="0"/>
    <s v="Meena"/>
    <x v="4"/>
    <n v="1"/>
    <n v="61000"/>
    <n v="8300"/>
    <n v="0.1360655737704918"/>
    <x v="2"/>
  </r>
  <r>
    <s v="ORD026"/>
    <d v="2025-03-11T00:00:00"/>
    <x v="6"/>
    <x v="1"/>
    <s v="Vijay"/>
    <x v="1"/>
    <n v="2"/>
    <n v="5200"/>
    <n v="1500"/>
    <n v="0.28846153846153844"/>
    <x v="2"/>
  </r>
  <r>
    <s v="ORD027"/>
    <d v="2025-03-14T00:00:00"/>
    <x v="3"/>
    <x v="1"/>
    <s v="Divya"/>
    <x v="0"/>
    <n v="1"/>
    <n v="2300"/>
    <n v="650"/>
    <n v="0.28260869565217389"/>
    <x v="2"/>
  </r>
  <r>
    <s v="ORD028"/>
    <d v="2025-03-17T00:00:00"/>
    <x v="2"/>
    <x v="2"/>
    <s v="Arun"/>
    <x v="2"/>
    <n v="2"/>
    <n v="15500"/>
    <n v="2600"/>
    <n v="0.16774193548387098"/>
    <x v="2"/>
  </r>
  <r>
    <s v="ORD029"/>
    <d v="2025-03-20T00:00:00"/>
    <x v="4"/>
    <x v="0"/>
    <s v="Ravi"/>
    <x v="0"/>
    <n v="1"/>
    <n v="15200"/>
    <n v="2050"/>
    <n v="0.13486842105263158"/>
    <x v="2"/>
  </r>
  <r>
    <s v="ORD030"/>
    <d v="2025-03-23T00:00:00"/>
    <x v="5"/>
    <x v="2"/>
    <s v="Priya"/>
    <x v="4"/>
    <n v="1"/>
    <n v="9200"/>
    <n v="1550"/>
    <n v="0.1684782608695652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839D5-7ACC-4229-A12E-90B8F008AF04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7" firstHeaderRow="0" firstDataRow="1" firstDataCol="1"/>
  <pivotFields count="11">
    <pivotField showAll="0"/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numFmtId="2" showAll="0"/>
    <pivotField dataField="1" numFmtId="1" showAll="0"/>
    <pivotField dataField="1" numFmtId="1" showAll="0"/>
    <pivotField numFmtId="10"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"/>
    <dataField name="Sum of Profit" fld="8" baseField="0" baseItem="0" numFmtId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CFD350-57B3-414B-9785-E859946E7755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C7" firstHeaderRow="0" firstDataRow="1" firstDataCol="1"/>
  <pivotFields count="11">
    <pivotField showAll="0"/>
    <pivotField numFmtId="14" showAll="0"/>
    <pivotField showAll="0"/>
    <pivotField showAll="0"/>
    <pivotField showAll="0"/>
    <pivotField showAll="0"/>
    <pivotField numFmtId="2" showAll="0"/>
    <pivotField dataField="1" numFmtId="1" showAll="0"/>
    <pivotField dataField="1" numFmtId="1" showAll="0"/>
    <pivotField numFmtId="10" showAll="0"/>
    <pivotField axis="axisRow" showAll="0">
      <items count="4">
        <item x="0"/>
        <item x="1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"/>
    <dataField name="Sum of Profit" fld="8" baseField="0" baseItem="0" numFmtId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1A4914-EF0C-4A5D-9541-22A92B60F698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9" firstHeaderRow="0" firstDataRow="1" firstDataCol="1"/>
  <pivotFields count="11">
    <pivotField showAll="0"/>
    <pivotField numFmtId="14" showAll="0"/>
    <pivotField showAll="0"/>
    <pivotField showAll="0"/>
    <pivotField showAll="0"/>
    <pivotField axis="axisRow" showAll="0">
      <items count="6">
        <item x="0"/>
        <item x="2"/>
        <item x="1"/>
        <item x="4"/>
        <item x="3"/>
        <item t="default"/>
      </items>
    </pivotField>
    <pivotField numFmtId="2" showAll="0"/>
    <pivotField dataField="1" numFmtId="1" showAll="0"/>
    <pivotField dataField="1" numFmtId="1" showAll="0"/>
    <pivotField numFmtId="10"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"/>
    <dataField name="Sum of Profit" fld="8" baseField="0" baseItem="0" numFmtId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5424D9-1E28-4524-92FB-C133700631B3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11" firstHeaderRow="0" firstDataRow="1" firstDataCol="1"/>
  <pivotFields count="11">
    <pivotField showAll="0"/>
    <pivotField numFmtId="14" showAll="0"/>
    <pivotField axis="axisRow" showAll="0">
      <items count="8">
        <item x="5"/>
        <item x="6"/>
        <item x="3"/>
        <item x="0"/>
        <item x="4"/>
        <item x="1"/>
        <item x="2"/>
        <item t="default"/>
      </items>
    </pivotField>
    <pivotField showAll="0"/>
    <pivotField showAll="0"/>
    <pivotField showAll="0"/>
    <pivotField numFmtId="2" showAll="0"/>
    <pivotField dataField="1" numFmtId="1" showAll="0"/>
    <pivotField dataField="1" numFmtId="1" showAll="0"/>
    <pivotField numFmtId="10"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7" baseField="0" baseItem="0" numFmtId="1"/>
    <dataField name="Sum of Profit" fld="8" baseField="0" baseItem="0" numFmtId="1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3A277-8BF5-4285-92AF-6B48D7950071}" name="SalesData" displayName="SalesData" ref="A1:K31" totalsRowShown="0">
  <autoFilter ref="A1:K31" xr:uid="{88E3A277-8BF5-4285-92AF-6B48D7950071}"/>
  <tableColumns count="11">
    <tableColumn id="1" xr3:uid="{E0EB5229-09A8-4CD5-B6A6-E698E55C8430}" name="Order_ID" dataDxfId="9"/>
    <tableColumn id="2" xr3:uid="{E0438009-FC2B-4200-850F-618B40B56F17}" name="Date" dataDxfId="8"/>
    <tableColumn id="3" xr3:uid="{3334EDDB-693B-4E8A-97E4-9E16D2C4C561}" name="Product" dataDxfId="7"/>
    <tableColumn id="4" xr3:uid="{4CAEE563-E166-48F3-BF4B-8C4BB82FCA32}" name="Category" dataDxfId="6"/>
    <tableColumn id="5" xr3:uid="{E695AADB-9D14-4BD2-B03C-F5C8E48EE40C}" name="Customer" dataDxfId="5"/>
    <tableColumn id="6" xr3:uid="{8C86F3D3-527C-4811-B6E0-9ED7284AB84E}" name="City" dataDxfId="3"/>
    <tableColumn id="7" xr3:uid="{03944B12-C638-49E3-AB7B-48E0EE14DCA3}" name="Quantity" dataDxfId="4"/>
    <tableColumn id="8" xr3:uid="{7A651CAE-F858-4787-A555-123274AB9266}" name="Sales" dataDxfId="10"/>
    <tableColumn id="9" xr3:uid="{66609249-FA53-4A02-BCC2-FD63EB4FF175}" name="Profit" dataDxfId="2"/>
    <tableColumn id="10" xr3:uid="{371A77E7-C2E4-4284-A0B1-FA9A2DFBD32A}" name="Profit_Margin" dataDxfId="1">
      <calculatedColumnFormula>I2/H2</calculatedColumnFormula>
    </tableColumn>
    <tableColumn id="11" xr3:uid="{0561709D-C4CE-471B-A2EC-C5571542830A}" name="Month" dataDxfId="0">
      <calculatedColumnFormula>TEXT(B2,"mmm")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9D18F-852A-41E2-A1C1-4DB037996F9F}">
  <dimension ref="A3:C7"/>
  <sheetViews>
    <sheetView workbookViewId="0">
      <selection activeCell="M7" sqref="M7"/>
    </sheetView>
  </sheetViews>
  <sheetFormatPr defaultRowHeight="14.4" x14ac:dyDescent="0.3"/>
  <cols>
    <col min="1" max="1" width="12.44140625" bestFit="1" customWidth="1"/>
    <col min="2" max="3" width="11.5546875" bestFit="1" customWidth="1"/>
  </cols>
  <sheetData>
    <row r="3" spans="1:3" x14ac:dyDescent="0.3">
      <c r="A3" s="8" t="s">
        <v>77</v>
      </c>
      <c r="B3" t="s">
        <v>79</v>
      </c>
      <c r="C3" t="s">
        <v>80</v>
      </c>
    </row>
    <row r="4" spans="1:3" x14ac:dyDescent="0.3">
      <c r="A4" s="9" t="s">
        <v>16</v>
      </c>
      <c r="B4" s="3">
        <v>34200</v>
      </c>
      <c r="C4" s="3">
        <v>9750</v>
      </c>
    </row>
    <row r="5" spans="1:3" x14ac:dyDescent="0.3">
      <c r="A5" s="9" t="s">
        <v>11</v>
      </c>
      <c r="B5" s="3">
        <v>402700</v>
      </c>
      <c r="C5" s="3">
        <v>53850</v>
      </c>
    </row>
    <row r="6" spans="1:3" x14ac:dyDescent="0.3">
      <c r="A6" s="9" t="s">
        <v>21</v>
      </c>
      <c r="B6" s="3">
        <v>107800</v>
      </c>
      <c r="C6" s="3">
        <v>17800</v>
      </c>
    </row>
    <row r="7" spans="1:3" x14ac:dyDescent="0.3">
      <c r="A7" s="9" t="s">
        <v>78</v>
      </c>
      <c r="B7" s="3">
        <v>544700</v>
      </c>
      <c r="C7" s="3">
        <v>81400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BE509-A91F-4548-AA85-3C482FDEEF72}">
  <dimension ref="A3:C7"/>
  <sheetViews>
    <sheetView workbookViewId="0">
      <selection activeCell="N10" sqref="N10"/>
    </sheetView>
  </sheetViews>
  <sheetFormatPr defaultRowHeight="14.4" x14ac:dyDescent="0.3"/>
  <cols>
    <col min="1" max="1" width="12.44140625" bestFit="1" customWidth="1"/>
    <col min="2" max="3" width="11.5546875" bestFit="1" customWidth="1"/>
  </cols>
  <sheetData>
    <row r="3" spans="1:3" x14ac:dyDescent="0.3">
      <c r="A3" s="8" t="s">
        <v>77</v>
      </c>
      <c r="B3" t="s">
        <v>79</v>
      </c>
      <c r="C3" t="s">
        <v>80</v>
      </c>
    </row>
    <row r="4" spans="1:3" x14ac:dyDescent="0.3">
      <c r="A4" s="9" t="s">
        <v>74</v>
      </c>
      <c r="B4" s="3">
        <v>216200</v>
      </c>
      <c r="C4" s="3">
        <v>32000</v>
      </c>
    </row>
    <row r="5" spans="1:3" x14ac:dyDescent="0.3">
      <c r="A5" s="9" t="s">
        <v>75</v>
      </c>
      <c r="B5" s="3">
        <v>186100</v>
      </c>
      <c r="C5" s="3">
        <v>27550</v>
      </c>
    </row>
    <row r="6" spans="1:3" x14ac:dyDescent="0.3">
      <c r="A6" s="9" t="s">
        <v>76</v>
      </c>
      <c r="B6" s="3">
        <v>142400</v>
      </c>
      <c r="C6" s="3">
        <v>21850</v>
      </c>
    </row>
    <row r="7" spans="1:3" x14ac:dyDescent="0.3">
      <c r="A7" s="9" t="s">
        <v>78</v>
      </c>
      <c r="B7" s="3">
        <v>544700</v>
      </c>
      <c r="C7" s="3">
        <v>81400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ED56A-0679-4ACD-9DAD-D286B838B770}">
  <dimension ref="A3:C9"/>
  <sheetViews>
    <sheetView workbookViewId="0">
      <selection activeCell="O8" sqref="O8"/>
    </sheetView>
  </sheetViews>
  <sheetFormatPr defaultRowHeight="14.4" x14ac:dyDescent="0.3"/>
  <cols>
    <col min="1" max="1" width="12.44140625" bestFit="1" customWidth="1"/>
    <col min="2" max="3" width="11.5546875" bestFit="1" customWidth="1"/>
  </cols>
  <sheetData>
    <row r="3" spans="1:3" x14ac:dyDescent="0.3">
      <c r="A3" s="8" t="s">
        <v>77</v>
      </c>
      <c r="B3" t="s">
        <v>79</v>
      </c>
      <c r="C3" t="s">
        <v>80</v>
      </c>
    </row>
    <row r="4" spans="1:3" x14ac:dyDescent="0.3">
      <c r="A4" s="9" t="s">
        <v>13</v>
      </c>
      <c r="B4" s="3">
        <v>231300</v>
      </c>
      <c r="C4" s="3">
        <v>33500</v>
      </c>
    </row>
    <row r="5" spans="1:3" x14ac:dyDescent="0.3">
      <c r="A5" s="9" t="s">
        <v>26</v>
      </c>
      <c r="B5" s="3">
        <v>105000</v>
      </c>
      <c r="C5" s="3">
        <v>15600</v>
      </c>
    </row>
    <row r="6" spans="1:3" x14ac:dyDescent="0.3">
      <c r="A6" s="9" t="s">
        <v>18</v>
      </c>
      <c r="B6" s="3">
        <v>111000</v>
      </c>
      <c r="C6" s="3">
        <v>16850</v>
      </c>
    </row>
    <row r="7" spans="1:3" x14ac:dyDescent="0.3">
      <c r="A7" s="9" t="s">
        <v>42</v>
      </c>
      <c r="B7" s="3">
        <v>88400</v>
      </c>
      <c r="C7" s="3">
        <v>13950</v>
      </c>
    </row>
    <row r="8" spans="1:3" x14ac:dyDescent="0.3">
      <c r="A8" s="9" t="s">
        <v>33</v>
      </c>
      <c r="B8" s="3">
        <v>9000</v>
      </c>
      <c r="C8" s="3">
        <v>1500</v>
      </c>
    </row>
    <row r="9" spans="1:3" x14ac:dyDescent="0.3">
      <c r="A9" s="9" t="s">
        <v>78</v>
      </c>
      <c r="B9" s="3">
        <v>544700</v>
      </c>
      <c r="C9" s="3">
        <v>81400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9F524-453E-453D-8AA3-B7823DA87294}">
  <dimension ref="A3:C11"/>
  <sheetViews>
    <sheetView workbookViewId="0">
      <selection activeCell="C5" sqref="C5"/>
    </sheetView>
  </sheetViews>
  <sheetFormatPr defaultRowHeight="14.4" x14ac:dyDescent="0.3"/>
  <cols>
    <col min="1" max="1" width="12.44140625" bestFit="1" customWidth="1"/>
    <col min="2" max="3" width="11.5546875" bestFit="1" customWidth="1"/>
  </cols>
  <sheetData>
    <row r="3" spans="1:3" x14ac:dyDescent="0.3">
      <c r="A3" s="8" t="s">
        <v>77</v>
      </c>
      <c r="B3" t="s">
        <v>79</v>
      </c>
      <c r="C3" t="s">
        <v>80</v>
      </c>
    </row>
    <row r="4" spans="1:3" x14ac:dyDescent="0.3">
      <c r="A4" s="9" t="s">
        <v>31</v>
      </c>
      <c r="B4" s="3">
        <v>55000</v>
      </c>
      <c r="C4" s="3">
        <v>9150</v>
      </c>
    </row>
    <row r="5" spans="1:3" x14ac:dyDescent="0.3">
      <c r="A5" s="9" t="s">
        <v>37</v>
      </c>
      <c r="B5" s="3">
        <v>13000</v>
      </c>
      <c r="C5" s="3">
        <v>3700</v>
      </c>
    </row>
    <row r="6" spans="1:3" x14ac:dyDescent="0.3">
      <c r="A6" s="9" t="s">
        <v>24</v>
      </c>
      <c r="B6" s="3">
        <v>15500</v>
      </c>
      <c r="C6" s="3">
        <v>4250</v>
      </c>
    </row>
    <row r="7" spans="1:3" x14ac:dyDescent="0.3">
      <c r="A7" s="9" t="s">
        <v>10</v>
      </c>
      <c r="B7" s="3">
        <v>296000</v>
      </c>
      <c r="C7" s="3">
        <v>39500</v>
      </c>
    </row>
    <row r="8" spans="1:3" x14ac:dyDescent="0.3">
      <c r="A8" s="9" t="s">
        <v>28</v>
      </c>
      <c r="B8" s="3">
        <v>106700</v>
      </c>
      <c r="C8" s="3">
        <v>14350</v>
      </c>
    </row>
    <row r="9" spans="1:3" x14ac:dyDescent="0.3">
      <c r="A9" s="9" t="s">
        <v>15</v>
      </c>
      <c r="B9" s="3">
        <v>5700</v>
      </c>
      <c r="C9" s="3">
        <v>1800</v>
      </c>
    </row>
    <row r="10" spans="1:3" x14ac:dyDescent="0.3">
      <c r="A10" s="9" t="s">
        <v>20</v>
      </c>
      <c r="B10" s="3">
        <v>52800</v>
      </c>
      <c r="C10" s="3">
        <v>8650</v>
      </c>
    </row>
    <row r="11" spans="1:3" x14ac:dyDescent="0.3">
      <c r="A11" s="9" t="s">
        <v>78</v>
      </c>
      <c r="B11" s="3">
        <v>544700</v>
      </c>
      <c r="C11" s="3">
        <v>81400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5F5C4-A027-446B-99D9-91A79B3B5BDE}">
  <dimension ref="A1:K31"/>
  <sheetViews>
    <sheetView topLeftCell="A2" workbookViewId="0">
      <selection activeCell="E19" sqref="E19"/>
    </sheetView>
  </sheetViews>
  <sheetFormatPr defaultRowHeight="14.4" x14ac:dyDescent="0.3"/>
  <cols>
    <col min="1" max="1" width="10.21875" style="4" customWidth="1"/>
    <col min="2" max="2" width="10.33203125" style="1" bestFit="1" customWidth="1"/>
    <col min="3" max="3" width="9.44140625" style="4" customWidth="1"/>
    <col min="4" max="4" width="10.21875" style="4" customWidth="1"/>
    <col min="5" max="5" width="11.33203125" style="4" bestFit="1" customWidth="1"/>
    <col min="6" max="6" width="8.88671875" style="4"/>
    <col min="7" max="7" width="10" style="2" customWidth="1"/>
    <col min="8" max="9" width="8.88671875" style="3"/>
    <col min="10" max="10" width="14.109375" style="5" bestFit="1" customWidth="1"/>
  </cols>
  <sheetData>
    <row r="1" spans="1:11" x14ac:dyDescent="0.3">
      <c r="A1" s="4" t="s">
        <v>0</v>
      </c>
      <c r="B1" s="1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2" t="s">
        <v>6</v>
      </c>
      <c r="H1" s="3" t="s">
        <v>7</v>
      </c>
      <c r="I1" s="3" t="s">
        <v>8</v>
      </c>
      <c r="J1" s="5" t="s">
        <v>63</v>
      </c>
      <c r="K1" t="s">
        <v>64</v>
      </c>
    </row>
    <row r="2" spans="1:11" x14ac:dyDescent="0.3">
      <c r="A2" s="4" t="s">
        <v>9</v>
      </c>
      <c r="B2" s="1">
        <v>45658</v>
      </c>
      <c r="C2" s="4" t="s">
        <v>10</v>
      </c>
      <c r="D2" s="4" t="s">
        <v>11</v>
      </c>
      <c r="E2" s="4" t="s">
        <v>12</v>
      </c>
      <c r="F2" s="4" t="s">
        <v>13</v>
      </c>
      <c r="G2" s="2">
        <v>1</v>
      </c>
      <c r="H2" s="3">
        <v>55000</v>
      </c>
      <c r="I2" s="3">
        <v>7000</v>
      </c>
      <c r="J2" s="5">
        <f t="shared" ref="J2:J31" si="0">I2/H2</f>
        <v>0.12727272727272726</v>
      </c>
      <c r="K2" t="str">
        <f t="shared" ref="K2:K31" si="1">TEXT(B2,"mmm")</f>
        <v>Jan</v>
      </c>
    </row>
    <row r="3" spans="1:11" x14ac:dyDescent="0.3">
      <c r="A3" s="4" t="s">
        <v>14</v>
      </c>
      <c r="B3" s="1">
        <v>45659</v>
      </c>
      <c r="C3" s="4" t="s">
        <v>15</v>
      </c>
      <c r="D3" s="4" t="s">
        <v>16</v>
      </c>
      <c r="E3" s="4" t="s">
        <v>17</v>
      </c>
      <c r="F3" s="4" t="s">
        <v>18</v>
      </c>
      <c r="G3" s="2">
        <v>2</v>
      </c>
      <c r="H3" s="3">
        <v>1600</v>
      </c>
      <c r="I3" s="3">
        <v>500</v>
      </c>
      <c r="J3" s="5">
        <f t="shared" si="0"/>
        <v>0.3125</v>
      </c>
      <c r="K3" s="6" t="str">
        <f t="shared" si="1"/>
        <v>Jan</v>
      </c>
    </row>
    <row r="4" spans="1:11" x14ac:dyDescent="0.3">
      <c r="A4" s="4" t="s">
        <v>19</v>
      </c>
      <c r="B4" s="1">
        <v>45660</v>
      </c>
      <c r="C4" s="4" t="s">
        <v>20</v>
      </c>
      <c r="D4" s="4" t="s">
        <v>21</v>
      </c>
      <c r="E4" s="4" t="s">
        <v>22</v>
      </c>
      <c r="F4" s="4" t="s">
        <v>13</v>
      </c>
      <c r="G4" s="2">
        <v>1</v>
      </c>
      <c r="H4" s="3">
        <v>7500</v>
      </c>
      <c r="I4" s="3">
        <v>1200</v>
      </c>
      <c r="J4" s="5">
        <f t="shared" si="0"/>
        <v>0.16</v>
      </c>
      <c r="K4" t="str">
        <f t="shared" si="1"/>
        <v>Jan</v>
      </c>
    </row>
    <row r="5" spans="1:11" x14ac:dyDescent="0.3">
      <c r="A5" s="4" t="s">
        <v>23</v>
      </c>
      <c r="B5" s="1">
        <v>45662</v>
      </c>
      <c r="C5" s="4" t="s">
        <v>24</v>
      </c>
      <c r="D5" s="4" t="s">
        <v>16</v>
      </c>
      <c r="E5" s="4" t="s">
        <v>25</v>
      </c>
      <c r="F5" s="4" t="s">
        <v>26</v>
      </c>
      <c r="G5" s="2">
        <v>1</v>
      </c>
      <c r="H5" s="3">
        <v>2200</v>
      </c>
      <c r="I5" s="3">
        <v>600</v>
      </c>
      <c r="J5" s="5">
        <f t="shared" si="0"/>
        <v>0.27272727272727271</v>
      </c>
      <c r="K5" t="str">
        <f t="shared" si="1"/>
        <v>Jan</v>
      </c>
    </row>
    <row r="6" spans="1:11" x14ac:dyDescent="0.3">
      <c r="A6" s="4" t="s">
        <v>27</v>
      </c>
      <c r="B6" s="1">
        <v>45664</v>
      </c>
      <c r="C6" s="4" t="s">
        <v>28</v>
      </c>
      <c r="D6" s="4" t="s">
        <v>11</v>
      </c>
      <c r="E6" s="4" t="s">
        <v>29</v>
      </c>
      <c r="F6" s="4" t="s">
        <v>13</v>
      </c>
      <c r="G6" s="2">
        <v>2</v>
      </c>
      <c r="H6" s="3">
        <v>30000</v>
      </c>
      <c r="I6" s="3">
        <v>4000</v>
      </c>
      <c r="J6" s="5">
        <f t="shared" si="0"/>
        <v>0.13333333333333333</v>
      </c>
      <c r="K6" t="str">
        <f t="shared" si="1"/>
        <v>Jan</v>
      </c>
    </row>
    <row r="7" spans="1:11" x14ac:dyDescent="0.3">
      <c r="A7" s="4" t="s">
        <v>30</v>
      </c>
      <c r="B7" s="1">
        <v>45666</v>
      </c>
      <c r="C7" s="4" t="s">
        <v>31</v>
      </c>
      <c r="D7" s="4" t="s">
        <v>21</v>
      </c>
      <c r="E7" s="4" t="s">
        <v>32</v>
      </c>
      <c r="F7" s="4" t="s">
        <v>33</v>
      </c>
      <c r="G7" s="2">
        <v>1</v>
      </c>
      <c r="H7" s="3">
        <v>9000</v>
      </c>
      <c r="I7" s="3">
        <v>1500</v>
      </c>
      <c r="J7" s="5">
        <f t="shared" si="0"/>
        <v>0.16666666666666666</v>
      </c>
      <c r="K7" t="str">
        <f t="shared" si="1"/>
        <v>Jan</v>
      </c>
    </row>
    <row r="8" spans="1:11" x14ac:dyDescent="0.3">
      <c r="A8" s="4" t="s">
        <v>34</v>
      </c>
      <c r="B8" s="1">
        <v>45669</v>
      </c>
      <c r="C8" s="4" t="s">
        <v>10</v>
      </c>
      <c r="D8" s="4" t="s">
        <v>11</v>
      </c>
      <c r="E8" s="4" t="s">
        <v>35</v>
      </c>
      <c r="F8" s="4" t="s">
        <v>18</v>
      </c>
      <c r="G8" s="2">
        <v>1</v>
      </c>
      <c r="H8" s="3">
        <v>62000</v>
      </c>
      <c r="I8" s="3">
        <v>8500</v>
      </c>
      <c r="J8" s="5">
        <f t="shared" si="0"/>
        <v>0.13709677419354838</v>
      </c>
      <c r="K8" t="str">
        <f t="shared" si="1"/>
        <v>Jan</v>
      </c>
    </row>
    <row r="9" spans="1:11" x14ac:dyDescent="0.3">
      <c r="A9" s="4" t="s">
        <v>36</v>
      </c>
      <c r="B9" s="1">
        <v>45672</v>
      </c>
      <c r="C9" s="4" t="s">
        <v>37</v>
      </c>
      <c r="D9" s="4" t="s">
        <v>16</v>
      </c>
      <c r="E9" s="4" t="s">
        <v>38</v>
      </c>
      <c r="F9" s="4" t="s">
        <v>26</v>
      </c>
      <c r="G9" s="2">
        <v>2</v>
      </c>
      <c r="H9" s="3">
        <v>5000</v>
      </c>
      <c r="I9" s="3">
        <v>1400</v>
      </c>
      <c r="J9" s="5">
        <f t="shared" si="0"/>
        <v>0.28000000000000003</v>
      </c>
      <c r="K9" t="str">
        <f t="shared" si="1"/>
        <v>Jan</v>
      </c>
    </row>
    <row r="10" spans="1:11" x14ac:dyDescent="0.3">
      <c r="A10" s="4" t="s">
        <v>39</v>
      </c>
      <c r="B10" s="1">
        <v>45675</v>
      </c>
      <c r="C10" s="4" t="s">
        <v>20</v>
      </c>
      <c r="D10" s="4" t="s">
        <v>21</v>
      </c>
      <c r="E10" s="4" t="s">
        <v>40</v>
      </c>
      <c r="F10" s="4" t="s">
        <v>13</v>
      </c>
      <c r="G10" s="2">
        <v>2</v>
      </c>
      <c r="H10" s="3">
        <v>15000</v>
      </c>
      <c r="I10" s="3">
        <v>2500</v>
      </c>
      <c r="J10" s="5">
        <f t="shared" si="0"/>
        <v>0.16666666666666666</v>
      </c>
      <c r="K10" t="str">
        <f t="shared" si="1"/>
        <v>Jan</v>
      </c>
    </row>
    <row r="11" spans="1:11" x14ac:dyDescent="0.3">
      <c r="A11" s="4" t="s">
        <v>41</v>
      </c>
      <c r="B11" s="1">
        <v>45677</v>
      </c>
      <c r="C11" s="4" t="s">
        <v>24</v>
      </c>
      <c r="D11" s="4" t="s">
        <v>16</v>
      </c>
      <c r="E11" s="4" t="s">
        <v>12</v>
      </c>
      <c r="F11" s="4" t="s">
        <v>42</v>
      </c>
      <c r="G11" s="2">
        <v>2</v>
      </c>
      <c r="H11" s="3">
        <v>4400</v>
      </c>
      <c r="I11" s="3">
        <v>1200</v>
      </c>
      <c r="J11" s="5">
        <f t="shared" si="0"/>
        <v>0.27272727272727271</v>
      </c>
      <c r="K11" t="str">
        <f t="shared" si="1"/>
        <v>Jan</v>
      </c>
    </row>
    <row r="12" spans="1:11" x14ac:dyDescent="0.3">
      <c r="A12" s="4" t="s">
        <v>43</v>
      </c>
      <c r="B12" s="1">
        <v>45680</v>
      </c>
      <c r="C12" s="4" t="s">
        <v>28</v>
      </c>
      <c r="D12" s="4" t="s">
        <v>11</v>
      </c>
      <c r="E12" s="4" t="s">
        <v>17</v>
      </c>
      <c r="F12" s="4" t="s">
        <v>13</v>
      </c>
      <c r="G12" s="2">
        <v>1</v>
      </c>
      <c r="H12" s="3">
        <v>15000</v>
      </c>
      <c r="I12" s="3">
        <v>2000</v>
      </c>
      <c r="J12" s="5">
        <f t="shared" si="0"/>
        <v>0.13333333333333333</v>
      </c>
      <c r="K12" t="str">
        <f t="shared" si="1"/>
        <v>Jan</v>
      </c>
    </row>
    <row r="13" spans="1:11" x14ac:dyDescent="0.3">
      <c r="A13" s="4" t="s">
        <v>44</v>
      </c>
      <c r="B13" s="1">
        <v>45683</v>
      </c>
      <c r="C13" s="4" t="s">
        <v>31</v>
      </c>
      <c r="D13" s="4" t="s">
        <v>21</v>
      </c>
      <c r="E13" s="4" t="s">
        <v>25</v>
      </c>
      <c r="F13" s="4" t="s">
        <v>18</v>
      </c>
      <c r="G13" s="2">
        <v>1</v>
      </c>
      <c r="H13" s="3">
        <v>9500</v>
      </c>
      <c r="I13" s="3">
        <v>1600</v>
      </c>
      <c r="J13" s="5">
        <f t="shared" si="0"/>
        <v>0.16842105263157894</v>
      </c>
      <c r="K13" t="str">
        <f t="shared" si="1"/>
        <v>Jan</v>
      </c>
    </row>
    <row r="14" spans="1:11" x14ac:dyDescent="0.3">
      <c r="A14" s="4" t="s">
        <v>45</v>
      </c>
      <c r="B14" s="1">
        <v>45690</v>
      </c>
      <c r="C14" s="4" t="s">
        <v>10</v>
      </c>
      <c r="D14" s="4" t="s">
        <v>11</v>
      </c>
      <c r="E14" s="4" t="s">
        <v>22</v>
      </c>
      <c r="F14" s="4" t="s">
        <v>26</v>
      </c>
      <c r="G14" s="2">
        <v>1</v>
      </c>
      <c r="H14" s="3">
        <v>58000</v>
      </c>
      <c r="I14" s="3">
        <v>7500</v>
      </c>
      <c r="J14" s="5">
        <f t="shared" si="0"/>
        <v>0.12931034482758622</v>
      </c>
      <c r="K14" t="str">
        <f t="shared" si="1"/>
        <v>Feb</v>
      </c>
    </row>
    <row r="15" spans="1:11" x14ac:dyDescent="0.3">
      <c r="A15" s="4" t="s">
        <v>46</v>
      </c>
      <c r="B15" s="1">
        <v>45692</v>
      </c>
      <c r="C15" s="4" t="s">
        <v>15</v>
      </c>
      <c r="D15" s="4" t="s">
        <v>16</v>
      </c>
      <c r="E15" s="4" t="s">
        <v>29</v>
      </c>
      <c r="F15" s="4" t="s">
        <v>13</v>
      </c>
      <c r="G15" s="2">
        <v>3</v>
      </c>
      <c r="H15" s="3">
        <v>2400</v>
      </c>
      <c r="I15" s="3">
        <v>750</v>
      </c>
      <c r="J15" s="5">
        <f t="shared" si="0"/>
        <v>0.3125</v>
      </c>
      <c r="K15" t="str">
        <f t="shared" si="1"/>
        <v>Feb</v>
      </c>
    </row>
    <row r="16" spans="1:11" x14ac:dyDescent="0.3">
      <c r="A16" s="4" t="s">
        <v>47</v>
      </c>
      <c r="B16" s="1">
        <v>45694</v>
      </c>
      <c r="C16" s="4" t="s">
        <v>20</v>
      </c>
      <c r="D16" s="4" t="s">
        <v>21</v>
      </c>
      <c r="E16" s="4" t="s">
        <v>32</v>
      </c>
      <c r="F16" s="4" t="s">
        <v>42</v>
      </c>
      <c r="G16" s="2">
        <v>1</v>
      </c>
      <c r="H16" s="3">
        <v>7200</v>
      </c>
      <c r="I16" s="3">
        <v>1100</v>
      </c>
      <c r="J16" s="5">
        <f t="shared" si="0"/>
        <v>0.15277777777777779</v>
      </c>
      <c r="K16" t="str">
        <f t="shared" si="1"/>
        <v>Feb</v>
      </c>
    </row>
    <row r="17" spans="1:11" x14ac:dyDescent="0.3">
      <c r="A17" s="4" t="s">
        <v>48</v>
      </c>
      <c r="B17" s="1">
        <v>45697</v>
      </c>
      <c r="C17" s="4" t="s">
        <v>37</v>
      </c>
      <c r="D17" s="4" t="s">
        <v>16</v>
      </c>
      <c r="E17" s="4" t="s">
        <v>35</v>
      </c>
      <c r="F17" s="4" t="s">
        <v>13</v>
      </c>
      <c r="G17" s="2">
        <v>1</v>
      </c>
      <c r="H17" s="3">
        <v>2800</v>
      </c>
      <c r="I17" s="3">
        <v>800</v>
      </c>
      <c r="J17" s="5">
        <f t="shared" si="0"/>
        <v>0.2857142857142857</v>
      </c>
      <c r="K17" t="str">
        <f t="shared" si="1"/>
        <v>Feb</v>
      </c>
    </row>
    <row r="18" spans="1:11" x14ac:dyDescent="0.3">
      <c r="A18" s="4" t="s">
        <v>49</v>
      </c>
      <c r="B18" s="1">
        <v>45699</v>
      </c>
      <c r="C18" s="4" t="s">
        <v>28</v>
      </c>
      <c r="D18" s="4" t="s">
        <v>11</v>
      </c>
      <c r="E18" s="4" t="s">
        <v>38</v>
      </c>
      <c r="F18" s="4" t="s">
        <v>18</v>
      </c>
      <c r="G18" s="2">
        <v>2</v>
      </c>
      <c r="H18" s="3">
        <v>31000</v>
      </c>
      <c r="I18" s="3">
        <v>4200</v>
      </c>
      <c r="J18" s="5">
        <f t="shared" si="0"/>
        <v>0.13548387096774195</v>
      </c>
      <c r="K18" t="str">
        <f t="shared" si="1"/>
        <v>Feb</v>
      </c>
    </row>
    <row r="19" spans="1:11" x14ac:dyDescent="0.3">
      <c r="A19" s="4" t="s">
        <v>50</v>
      </c>
      <c r="B19" s="1">
        <v>45702</v>
      </c>
      <c r="C19" s="4" t="s">
        <v>31</v>
      </c>
      <c r="D19" s="4" t="s">
        <v>21</v>
      </c>
      <c r="E19" s="4" t="s">
        <v>40</v>
      </c>
      <c r="F19" s="4" t="s">
        <v>26</v>
      </c>
      <c r="G19" s="2">
        <v>1</v>
      </c>
      <c r="H19" s="3">
        <v>8800</v>
      </c>
      <c r="I19" s="3">
        <v>1400</v>
      </c>
      <c r="J19" s="5">
        <f t="shared" si="0"/>
        <v>0.15909090909090909</v>
      </c>
      <c r="K19" t="str">
        <f t="shared" si="1"/>
        <v>Feb</v>
      </c>
    </row>
    <row r="20" spans="1:11" x14ac:dyDescent="0.3">
      <c r="A20" s="4" t="s">
        <v>51</v>
      </c>
      <c r="B20" s="1">
        <v>45705</v>
      </c>
      <c r="C20" s="4" t="s">
        <v>10</v>
      </c>
      <c r="D20" s="4" t="s">
        <v>11</v>
      </c>
      <c r="E20" s="4" t="s">
        <v>12</v>
      </c>
      <c r="F20" s="4" t="s">
        <v>13</v>
      </c>
      <c r="G20" s="2">
        <v>1</v>
      </c>
      <c r="H20" s="3">
        <v>60000</v>
      </c>
      <c r="I20" s="3">
        <v>8200</v>
      </c>
      <c r="J20" s="5">
        <f t="shared" si="0"/>
        <v>0.13666666666666666</v>
      </c>
      <c r="K20" t="str">
        <f t="shared" si="1"/>
        <v>Feb</v>
      </c>
    </row>
    <row r="21" spans="1:11" x14ac:dyDescent="0.3">
      <c r="A21" s="4" t="s">
        <v>52</v>
      </c>
      <c r="B21" s="1">
        <v>45708</v>
      </c>
      <c r="C21" s="4" t="s">
        <v>24</v>
      </c>
      <c r="D21" s="4" t="s">
        <v>16</v>
      </c>
      <c r="E21" s="4" t="s">
        <v>17</v>
      </c>
      <c r="F21" s="4" t="s">
        <v>42</v>
      </c>
      <c r="G21" s="2">
        <v>3</v>
      </c>
      <c r="H21" s="3">
        <v>6600</v>
      </c>
      <c r="I21" s="3">
        <v>1800</v>
      </c>
      <c r="J21" s="5">
        <f t="shared" si="0"/>
        <v>0.27272727272727271</v>
      </c>
      <c r="K21" t="str">
        <f t="shared" si="1"/>
        <v>Feb</v>
      </c>
    </row>
    <row r="22" spans="1:11" x14ac:dyDescent="0.3">
      <c r="A22" s="4" t="s">
        <v>53</v>
      </c>
      <c r="B22" s="1">
        <v>45711</v>
      </c>
      <c r="C22" s="4" t="s">
        <v>20</v>
      </c>
      <c r="D22" s="4" t="s">
        <v>21</v>
      </c>
      <c r="E22" s="4" t="s">
        <v>25</v>
      </c>
      <c r="F22" s="4" t="s">
        <v>13</v>
      </c>
      <c r="G22" s="2">
        <v>1</v>
      </c>
      <c r="H22" s="3">
        <v>7600</v>
      </c>
      <c r="I22" s="3">
        <v>1250</v>
      </c>
      <c r="J22" s="5">
        <f t="shared" si="0"/>
        <v>0.16447368421052633</v>
      </c>
      <c r="K22" t="str">
        <f t="shared" si="1"/>
        <v>Feb</v>
      </c>
    </row>
    <row r="23" spans="1:11" x14ac:dyDescent="0.3">
      <c r="A23" s="4" t="s">
        <v>54</v>
      </c>
      <c r="B23" s="1">
        <v>45714</v>
      </c>
      <c r="C23" s="4" t="s">
        <v>15</v>
      </c>
      <c r="D23" s="4" t="s">
        <v>16</v>
      </c>
      <c r="E23" s="4" t="s">
        <v>22</v>
      </c>
      <c r="F23" s="4" t="s">
        <v>18</v>
      </c>
      <c r="G23" s="2">
        <v>2</v>
      </c>
      <c r="H23" s="3">
        <v>1700</v>
      </c>
      <c r="I23" s="3">
        <v>550</v>
      </c>
      <c r="J23" s="5">
        <f t="shared" si="0"/>
        <v>0.3235294117647059</v>
      </c>
      <c r="K23" t="str">
        <f t="shared" si="1"/>
        <v>Feb</v>
      </c>
    </row>
    <row r="24" spans="1:11" x14ac:dyDescent="0.3">
      <c r="A24" s="4" t="s">
        <v>55</v>
      </c>
      <c r="B24" s="1">
        <v>45719</v>
      </c>
      <c r="C24" s="4" t="s">
        <v>28</v>
      </c>
      <c r="D24" s="4" t="s">
        <v>11</v>
      </c>
      <c r="E24" s="4" t="s">
        <v>29</v>
      </c>
      <c r="F24" s="4" t="s">
        <v>26</v>
      </c>
      <c r="G24" s="2">
        <v>1</v>
      </c>
      <c r="H24" s="3">
        <v>15500</v>
      </c>
      <c r="I24" s="3">
        <v>2100</v>
      </c>
      <c r="J24" s="5">
        <f t="shared" si="0"/>
        <v>0.13548387096774195</v>
      </c>
      <c r="K24" t="str">
        <f t="shared" si="1"/>
        <v>Mar</v>
      </c>
    </row>
    <row r="25" spans="1:11" x14ac:dyDescent="0.3">
      <c r="A25" s="4" t="s">
        <v>56</v>
      </c>
      <c r="B25" s="1">
        <v>45721</v>
      </c>
      <c r="C25" s="4" t="s">
        <v>31</v>
      </c>
      <c r="D25" s="4" t="s">
        <v>21</v>
      </c>
      <c r="E25" s="4" t="s">
        <v>32</v>
      </c>
      <c r="F25" s="4" t="s">
        <v>13</v>
      </c>
      <c r="G25" s="2">
        <v>2</v>
      </c>
      <c r="H25" s="3">
        <v>18500</v>
      </c>
      <c r="I25" s="3">
        <v>3100</v>
      </c>
      <c r="J25" s="5">
        <f t="shared" si="0"/>
        <v>0.16756756756756758</v>
      </c>
      <c r="K25" t="str">
        <f t="shared" si="1"/>
        <v>Mar</v>
      </c>
    </row>
    <row r="26" spans="1:11" x14ac:dyDescent="0.3">
      <c r="A26" s="4" t="s">
        <v>57</v>
      </c>
      <c r="B26" s="1">
        <v>45724</v>
      </c>
      <c r="C26" s="4" t="s">
        <v>10</v>
      </c>
      <c r="D26" s="4" t="s">
        <v>11</v>
      </c>
      <c r="E26" s="4" t="s">
        <v>35</v>
      </c>
      <c r="F26" s="4" t="s">
        <v>42</v>
      </c>
      <c r="G26" s="2">
        <v>1</v>
      </c>
      <c r="H26" s="3">
        <v>61000</v>
      </c>
      <c r="I26" s="3">
        <v>8300</v>
      </c>
      <c r="J26" s="5">
        <f t="shared" si="0"/>
        <v>0.1360655737704918</v>
      </c>
      <c r="K26" t="str">
        <f t="shared" si="1"/>
        <v>Mar</v>
      </c>
    </row>
    <row r="27" spans="1:11" x14ac:dyDescent="0.3">
      <c r="A27" s="4" t="s">
        <v>58</v>
      </c>
      <c r="B27" s="1">
        <v>45727</v>
      </c>
      <c r="C27" s="4" t="s">
        <v>37</v>
      </c>
      <c r="D27" s="4" t="s">
        <v>16</v>
      </c>
      <c r="E27" s="4" t="s">
        <v>38</v>
      </c>
      <c r="F27" s="4" t="s">
        <v>18</v>
      </c>
      <c r="G27" s="2">
        <v>2</v>
      </c>
      <c r="H27" s="3">
        <v>5200</v>
      </c>
      <c r="I27" s="3">
        <v>1500</v>
      </c>
      <c r="J27" s="5">
        <f t="shared" si="0"/>
        <v>0.28846153846153844</v>
      </c>
      <c r="K27" t="str">
        <f t="shared" si="1"/>
        <v>Mar</v>
      </c>
    </row>
    <row r="28" spans="1:11" x14ac:dyDescent="0.3">
      <c r="A28" s="4" t="s">
        <v>59</v>
      </c>
      <c r="B28" s="1">
        <v>45730</v>
      </c>
      <c r="C28" s="4" t="s">
        <v>24</v>
      </c>
      <c r="D28" s="4" t="s">
        <v>16</v>
      </c>
      <c r="E28" s="4" t="s">
        <v>40</v>
      </c>
      <c r="F28" s="4" t="s">
        <v>13</v>
      </c>
      <c r="G28" s="2">
        <v>1</v>
      </c>
      <c r="H28" s="3">
        <v>2300</v>
      </c>
      <c r="I28" s="3">
        <v>650</v>
      </c>
      <c r="J28" s="5">
        <f t="shared" si="0"/>
        <v>0.28260869565217389</v>
      </c>
      <c r="K28" t="str">
        <f t="shared" si="1"/>
        <v>Mar</v>
      </c>
    </row>
    <row r="29" spans="1:11" x14ac:dyDescent="0.3">
      <c r="A29" s="4" t="s">
        <v>60</v>
      </c>
      <c r="B29" s="1">
        <v>45733</v>
      </c>
      <c r="C29" s="4" t="s">
        <v>20</v>
      </c>
      <c r="D29" s="4" t="s">
        <v>21</v>
      </c>
      <c r="E29" s="4" t="s">
        <v>12</v>
      </c>
      <c r="F29" s="4" t="s">
        <v>26</v>
      </c>
      <c r="G29" s="2">
        <v>2</v>
      </c>
      <c r="H29" s="3">
        <v>15500</v>
      </c>
      <c r="I29" s="3">
        <v>2600</v>
      </c>
      <c r="J29" s="5">
        <f t="shared" si="0"/>
        <v>0.16774193548387098</v>
      </c>
      <c r="K29" t="str">
        <f t="shared" si="1"/>
        <v>Mar</v>
      </c>
    </row>
    <row r="30" spans="1:11" x14ac:dyDescent="0.3">
      <c r="A30" s="4" t="s">
        <v>61</v>
      </c>
      <c r="B30" s="1">
        <v>45736</v>
      </c>
      <c r="C30" s="4" t="s">
        <v>28</v>
      </c>
      <c r="D30" s="4" t="s">
        <v>11</v>
      </c>
      <c r="E30" s="4" t="s">
        <v>17</v>
      </c>
      <c r="F30" s="4" t="s">
        <v>13</v>
      </c>
      <c r="G30" s="2">
        <v>1</v>
      </c>
      <c r="H30" s="3">
        <v>15200</v>
      </c>
      <c r="I30" s="3">
        <v>2050</v>
      </c>
      <c r="J30" s="5">
        <f t="shared" si="0"/>
        <v>0.13486842105263158</v>
      </c>
      <c r="K30" t="str">
        <f t="shared" si="1"/>
        <v>Mar</v>
      </c>
    </row>
    <row r="31" spans="1:11" x14ac:dyDescent="0.3">
      <c r="A31" s="4" t="s">
        <v>62</v>
      </c>
      <c r="B31" s="1">
        <v>45739</v>
      </c>
      <c r="C31" s="4" t="s">
        <v>31</v>
      </c>
      <c r="D31" s="4" t="s">
        <v>21</v>
      </c>
      <c r="E31" s="4" t="s">
        <v>25</v>
      </c>
      <c r="F31" s="4" t="s">
        <v>42</v>
      </c>
      <c r="G31" s="2">
        <v>1</v>
      </c>
      <c r="H31" s="3">
        <v>9200</v>
      </c>
      <c r="I31" s="3">
        <v>1550</v>
      </c>
      <c r="J31" s="5">
        <f t="shared" si="0"/>
        <v>0.16847826086956522</v>
      </c>
      <c r="K31" t="str">
        <f t="shared" si="1"/>
        <v>Mar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D8DFE-ADCE-4AC7-BE27-A8D4D0167CA0}">
  <dimension ref="A1:E40"/>
  <sheetViews>
    <sheetView topLeftCell="A17" workbookViewId="0">
      <selection activeCell="K37" sqref="K37"/>
    </sheetView>
  </sheetViews>
  <sheetFormatPr defaultRowHeight="14.4" x14ac:dyDescent="0.3"/>
  <cols>
    <col min="1" max="1" width="17.5546875" bestFit="1" customWidth="1"/>
    <col min="2" max="2" width="11.33203125" bestFit="1" customWidth="1"/>
    <col min="3" max="3" width="9.5546875" bestFit="1" customWidth="1"/>
    <col min="4" max="4" width="11.109375" bestFit="1" customWidth="1"/>
    <col min="5" max="5" width="11.88671875" bestFit="1" customWidth="1"/>
  </cols>
  <sheetData>
    <row r="1" spans="1:5" x14ac:dyDescent="0.3">
      <c r="A1" t="s">
        <v>65</v>
      </c>
      <c r="B1" t="s">
        <v>66</v>
      </c>
    </row>
    <row r="2" spans="1:5" x14ac:dyDescent="0.3">
      <c r="A2" t="s">
        <v>67</v>
      </c>
      <c r="B2" s="7">
        <f>SUM(SalesData[Sales])</f>
        <v>544700</v>
      </c>
    </row>
    <row r="3" spans="1:5" x14ac:dyDescent="0.3">
      <c r="A3" t="s">
        <v>68</v>
      </c>
      <c r="B3" s="7">
        <f>SUM(SalesData[Profit])</f>
        <v>81400</v>
      </c>
    </row>
    <row r="4" spans="1:5" x14ac:dyDescent="0.3">
      <c r="A4" t="s">
        <v>69</v>
      </c>
      <c r="B4" s="3">
        <f>SUM(SalesData[Quantity])</f>
        <v>44</v>
      </c>
    </row>
    <row r="5" spans="1:5" x14ac:dyDescent="0.3">
      <c r="A5" t="s">
        <v>70</v>
      </c>
      <c r="B5">
        <f>COUNTA(SalesData[Order_ID])</f>
        <v>30</v>
      </c>
    </row>
    <row r="6" spans="1:5" x14ac:dyDescent="0.3">
      <c r="A6" t="s">
        <v>71</v>
      </c>
      <c r="B6" s="2">
        <f>B2/B5</f>
        <v>18156.666666666668</v>
      </c>
    </row>
    <row r="7" spans="1:5" x14ac:dyDescent="0.3">
      <c r="A7" t="s">
        <v>72</v>
      </c>
      <c r="B7" s="5">
        <f>B3/B2</f>
        <v>0.14944005874793465</v>
      </c>
    </row>
    <row r="10" spans="1:5" x14ac:dyDescent="0.3">
      <c r="A10" t="s">
        <v>3</v>
      </c>
      <c r="B10" t="s">
        <v>67</v>
      </c>
      <c r="C10" t="s">
        <v>68</v>
      </c>
      <c r="D10" t="s">
        <v>73</v>
      </c>
      <c r="E10" t="s">
        <v>69</v>
      </c>
    </row>
    <row r="11" spans="1:5" x14ac:dyDescent="0.3">
      <c r="A11" t="s">
        <v>11</v>
      </c>
      <c r="B11" s="3">
        <f>SUMIFS(SalesData[Sales],SalesData[Category],A11)</f>
        <v>402700</v>
      </c>
      <c r="C11" s="3">
        <f>SUMIFS(SalesData[Profit],SalesData[Category],A11)</f>
        <v>53850</v>
      </c>
      <c r="D11" s="5">
        <f>C11/B11</f>
        <v>0.13372237397566428</v>
      </c>
      <c r="E11">
        <f>SUMIFS(SalesData[Quantity],SalesData[Category],A11)</f>
        <v>12</v>
      </c>
    </row>
    <row r="12" spans="1:5" x14ac:dyDescent="0.3">
      <c r="A12" t="s">
        <v>16</v>
      </c>
      <c r="B12" s="3">
        <f>SUMIFS(SalesData[Sales],SalesData[Category],A12)</f>
        <v>34200</v>
      </c>
      <c r="C12" s="3">
        <f>SUMIFS(SalesData[Profit],SalesData[Category],A12)</f>
        <v>9750</v>
      </c>
      <c r="D12" s="5">
        <f t="shared" ref="D12:D13" si="0">C12/B12</f>
        <v>0.28508771929824561</v>
      </c>
      <c r="E12">
        <f>SUMIFS(SalesData[Quantity],SalesData[Category],A12)</f>
        <v>19</v>
      </c>
    </row>
    <row r="13" spans="1:5" x14ac:dyDescent="0.3">
      <c r="A13" t="s">
        <v>21</v>
      </c>
      <c r="B13" s="3">
        <f>SUMIFS(SalesData[Sales],SalesData[Category],A13)</f>
        <v>107800</v>
      </c>
      <c r="C13" s="3">
        <f>SUMIFS(SalesData[Profit],SalesData[Category],A13)</f>
        <v>17800</v>
      </c>
      <c r="D13" s="5">
        <f t="shared" si="0"/>
        <v>0.16512059369202226</v>
      </c>
      <c r="E13">
        <f>SUMIFS(SalesData[Quantity],SalesData[Category],A13)</f>
        <v>13</v>
      </c>
    </row>
    <row r="17" spans="1:4" x14ac:dyDescent="0.3">
      <c r="A17" t="s">
        <v>64</v>
      </c>
      <c r="B17" t="s">
        <v>67</v>
      </c>
      <c r="C17" t="s">
        <v>68</v>
      </c>
      <c r="D17" t="s">
        <v>73</v>
      </c>
    </row>
    <row r="18" spans="1:4" x14ac:dyDescent="0.3">
      <c r="A18" t="s">
        <v>74</v>
      </c>
      <c r="B18">
        <f>SUMIFS(SalesData[Sales],SalesData[Month],A18)</f>
        <v>216200</v>
      </c>
      <c r="C18">
        <f>SUMIFS(SalesData[Profit],SalesData[Month],A18)</f>
        <v>32000</v>
      </c>
      <c r="D18" s="5">
        <f>C18/B18</f>
        <v>0.14801110083256244</v>
      </c>
    </row>
    <row r="19" spans="1:4" x14ac:dyDescent="0.3">
      <c r="A19" t="s">
        <v>75</v>
      </c>
      <c r="B19">
        <f>SUMIFS(SalesData[Sales],SalesData[Month],A19)</f>
        <v>186100</v>
      </c>
      <c r="C19">
        <f>SUMIFS(SalesData[Profit],SalesData[Month],A19)</f>
        <v>27550</v>
      </c>
      <c r="D19" s="5">
        <f t="shared" ref="D19:D20" si="1">C19/B19</f>
        <v>0.14803868887694788</v>
      </c>
    </row>
    <row r="20" spans="1:4" x14ac:dyDescent="0.3">
      <c r="A20" t="s">
        <v>76</v>
      </c>
      <c r="B20">
        <f>SUMIFS(SalesData[Sales],SalesData[Month],A20)</f>
        <v>142400</v>
      </c>
      <c r="C20">
        <f>SUMIFS(SalesData[Profit],SalesData[Month],A20)</f>
        <v>21850</v>
      </c>
      <c r="D20" s="5">
        <f t="shared" si="1"/>
        <v>0.15344101123595505</v>
      </c>
    </row>
    <row r="23" spans="1:4" x14ac:dyDescent="0.3">
      <c r="A23" t="s">
        <v>5</v>
      </c>
      <c r="B23" t="s">
        <v>67</v>
      </c>
      <c r="C23" t="s">
        <v>68</v>
      </c>
      <c r="D23" t="s">
        <v>73</v>
      </c>
    </row>
    <row r="24" spans="1:4" x14ac:dyDescent="0.3">
      <c r="A24" t="s">
        <v>13</v>
      </c>
      <c r="B24">
        <f>SUMIFS(SalesData[Sales],SalesData[City],A24)</f>
        <v>231300</v>
      </c>
      <c r="C24">
        <f>SUMIFS(SalesData[Profit],SalesData[City],A24)</f>
        <v>33500</v>
      </c>
      <c r="D24" s="5">
        <f>C24/B24</f>
        <v>0.14483354950281022</v>
      </c>
    </row>
    <row r="25" spans="1:4" x14ac:dyDescent="0.3">
      <c r="A25" t="s">
        <v>18</v>
      </c>
      <c r="B25">
        <f>SUMIFS(SalesData[Sales],SalesData[City],A25)</f>
        <v>111000</v>
      </c>
      <c r="C25">
        <f>SUMIFS(SalesData[Profit],SalesData[City],A25)</f>
        <v>16850</v>
      </c>
      <c r="D25" s="5">
        <f t="shared" ref="D25:D28" si="2">C25/B25</f>
        <v>0.15180180180180181</v>
      </c>
    </row>
    <row r="26" spans="1:4" x14ac:dyDescent="0.3">
      <c r="A26" t="s">
        <v>26</v>
      </c>
      <c r="B26">
        <f>SUMIFS(SalesData[Sales],SalesData[City],A26)</f>
        <v>105000</v>
      </c>
      <c r="C26">
        <f>SUMIFS(SalesData[Profit],SalesData[City],A26)</f>
        <v>15600</v>
      </c>
      <c r="D26" s="5">
        <f t="shared" si="2"/>
        <v>0.14857142857142858</v>
      </c>
    </row>
    <row r="27" spans="1:4" x14ac:dyDescent="0.3">
      <c r="A27" t="s">
        <v>42</v>
      </c>
      <c r="B27">
        <f>SUMIFS(SalesData[Sales],SalesData[City],A27)</f>
        <v>88400</v>
      </c>
      <c r="C27">
        <f>SUMIFS(SalesData[Profit],SalesData[City],A27)</f>
        <v>13950</v>
      </c>
      <c r="D27" s="5">
        <f t="shared" si="2"/>
        <v>0.15780542986425339</v>
      </c>
    </row>
    <row r="28" spans="1:4" x14ac:dyDescent="0.3">
      <c r="A28" t="s">
        <v>33</v>
      </c>
      <c r="B28">
        <f>SUMIFS(SalesData[Sales],SalesData[City],A28)</f>
        <v>9000</v>
      </c>
      <c r="C28">
        <f>SUMIFS(SalesData[Profit],SalesData[City],A28)</f>
        <v>1500</v>
      </c>
      <c r="D28" s="5">
        <f t="shared" si="2"/>
        <v>0.16666666666666666</v>
      </c>
    </row>
    <row r="33" spans="1:4" x14ac:dyDescent="0.3">
      <c r="A33" t="s">
        <v>2</v>
      </c>
      <c r="B33" t="s">
        <v>67</v>
      </c>
      <c r="C33" t="s">
        <v>68</v>
      </c>
      <c r="D33" t="s">
        <v>73</v>
      </c>
    </row>
    <row r="34" spans="1:4" x14ac:dyDescent="0.3">
      <c r="A34" t="s">
        <v>10</v>
      </c>
      <c r="B34">
        <f>SUMIFS(SalesData[Sales],SalesData[Product],A34)</f>
        <v>296000</v>
      </c>
      <c r="C34">
        <f>SUMIFS(SalesData[Profit],SalesData[Product],A34)</f>
        <v>39500</v>
      </c>
      <c r="D34" s="5">
        <f>C34/B34</f>
        <v>0.13344594594594594</v>
      </c>
    </row>
    <row r="35" spans="1:4" x14ac:dyDescent="0.3">
      <c r="A35" t="s">
        <v>15</v>
      </c>
      <c r="B35">
        <f>SUMIFS(SalesData[Sales],SalesData[Product],A35)</f>
        <v>5700</v>
      </c>
      <c r="C35">
        <f>SUMIFS(SalesData[Profit],SalesData[Product],A35)</f>
        <v>1800</v>
      </c>
      <c r="D35" s="5">
        <f t="shared" ref="D35:D40" si="3">C35/B35</f>
        <v>0.31578947368421051</v>
      </c>
    </row>
    <row r="36" spans="1:4" x14ac:dyDescent="0.3">
      <c r="A36" t="s">
        <v>20</v>
      </c>
      <c r="B36">
        <f>SUMIFS(SalesData[Sales],SalesData[Product],A36)</f>
        <v>52800</v>
      </c>
      <c r="C36">
        <f>SUMIFS(SalesData[Profit],SalesData[Product],A36)</f>
        <v>8650</v>
      </c>
      <c r="D36" s="5">
        <f t="shared" si="3"/>
        <v>0.16382575757575757</v>
      </c>
    </row>
    <row r="37" spans="1:4" x14ac:dyDescent="0.3">
      <c r="A37" t="s">
        <v>24</v>
      </c>
      <c r="B37">
        <f>SUMIFS(SalesData[Sales],SalesData[Product],A37)</f>
        <v>15500</v>
      </c>
      <c r="C37">
        <f>SUMIFS(SalesData[Profit],SalesData[Product],A37)</f>
        <v>4250</v>
      </c>
      <c r="D37" s="5">
        <f t="shared" si="3"/>
        <v>0.27419354838709675</v>
      </c>
    </row>
    <row r="38" spans="1:4" x14ac:dyDescent="0.3">
      <c r="A38" t="s">
        <v>28</v>
      </c>
      <c r="B38">
        <f>SUMIFS(SalesData[Sales],SalesData[Product],A38)</f>
        <v>106700</v>
      </c>
      <c r="C38">
        <f>SUMIFS(SalesData[Profit],SalesData[Product],A38)</f>
        <v>14350</v>
      </c>
      <c r="D38" s="5">
        <f t="shared" si="3"/>
        <v>0.13448922211808809</v>
      </c>
    </row>
    <row r="39" spans="1:4" x14ac:dyDescent="0.3">
      <c r="A39" t="s">
        <v>31</v>
      </c>
      <c r="B39">
        <f>SUMIFS(SalesData[Sales],SalesData[Product],A39)</f>
        <v>55000</v>
      </c>
      <c r="C39">
        <f>SUMIFS(SalesData[Profit],SalesData[Product],A39)</f>
        <v>9150</v>
      </c>
      <c r="D39" s="5">
        <f t="shared" si="3"/>
        <v>0.16636363636363635</v>
      </c>
    </row>
    <row r="40" spans="1:4" x14ac:dyDescent="0.3">
      <c r="A40" t="s">
        <v>37</v>
      </c>
      <c r="B40">
        <f>SUMIFS(SalesData[Sales],SalesData[Product],A40)</f>
        <v>13000</v>
      </c>
      <c r="C40">
        <f>SUMIFS(SalesData[Profit],SalesData[Product],A40)</f>
        <v>3700</v>
      </c>
      <c r="D40" s="5">
        <f t="shared" si="3"/>
        <v>0.2846153846153846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76F0B-4A68-4F96-A461-2B0FEFAE0CA2}">
  <dimension ref="A1:I45"/>
  <sheetViews>
    <sheetView showGridLines="0" tabSelected="1" zoomScale="52" workbookViewId="0">
      <selection activeCell="A44" sqref="A44:H44"/>
    </sheetView>
  </sheetViews>
  <sheetFormatPr defaultRowHeight="14.4" x14ac:dyDescent="0.35"/>
  <cols>
    <col min="1" max="1" width="18.33203125" style="16" bestFit="1" customWidth="1"/>
    <col min="3" max="3" width="15.88671875" bestFit="1" customWidth="1"/>
    <col min="5" max="5" width="11.88671875" bestFit="1" customWidth="1"/>
    <col min="7" max="7" width="15.44140625" bestFit="1" customWidth="1"/>
    <col min="9" max="9" width="17.88671875" bestFit="1" customWidth="1"/>
  </cols>
  <sheetData>
    <row r="1" spans="1:9" x14ac:dyDescent="0.3">
      <c r="A1" s="11" t="s">
        <v>81</v>
      </c>
      <c r="B1" s="11"/>
      <c r="C1" s="11"/>
      <c r="D1" s="11"/>
      <c r="E1" s="11"/>
      <c r="F1" s="11"/>
      <c r="G1" s="11"/>
      <c r="H1" s="11"/>
    </row>
    <row r="2" spans="1:9" x14ac:dyDescent="0.3">
      <c r="A2" s="11"/>
      <c r="B2" s="11"/>
      <c r="C2" s="11"/>
      <c r="D2" s="11"/>
      <c r="E2" s="11"/>
      <c r="F2" s="11"/>
      <c r="G2" s="11"/>
      <c r="H2" s="11"/>
    </row>
    <row r="3" spans="1:9" x14ac:dyDescent="0.3">
      <c r="A3" s="10" t="s">
        <v>82</v>
      </c>
      <c r="B3" s="10"/>
      <c r="C3" s="10"/>
      <c r="D3" s="10"/>
      <c r="E3" s="10"/>
      <c r="F3" s="10"/>
      <c r="G3" s="10"/>
      <c r="H3" s="10"/>
    </row>
    <row r="5" spans="1:9" ht="15.6" x14ac:dyDescent="0.3">
      <c r="A5" s="12" t="s">
        <v>67</v>
      </c>
      <c r="B5" s="13"/>
      <c r="C5" s="12" t="s">
        <v>68</v>
      </c>
      <c r="D5" s="13"/>
      <c r="E5" s="12" t="s">
        <v>69</v>
      </c>
      <c r="F5" s="13"/>
      <c r="G5" s="12" t="s">
        <v>70</v>
      </c>
      <c r="H5" s="13"/>
      <c r="I5" s="12" t="s">
        <v>71</v>
      </c>
    </row>
    <row r="6" spans="1:9" ht="21" x14ac:dyDescent="0.3">
      <c r="A6" s="14">
        <f>Analysis!B2</f>
        <v>544700</v>
      </c>
      <c r="B6" s="13"/>
      <c r="C6" s="14">
        <f>Analysis!B3</f>
        <v>81400</v>
      </c>
      <c r="D6" s="13"/>
      <c r="E6" s="15">
        <f>Analysis!B4</f>
        <v>44</v>
      </c>
      <c r="F6" s="13"/>
      <c r="G6" s="15">
        <f>Analysis!B5</f>
        <v>30</v>
      </c>
      <c r="H6" s="13"/>
      <c r="I6" s="14">
        <f>Analysis!B6</f>
        <v>18156.666666666668</v>
      </c>
    </row>
    <row r="8" spans="1:9" x14ac:dyDescent="0.3">
      <c r="A8"/>
    </row>
    <row r="9" spans="1:9" x14ac:dyDescent="0.3">
      <c r="A9"/>
    </row>
    <row r="38" spans="1:8" ht="18" x14ac:dyDescent="0.35"/>
    <row r="39" spans="1:8" ht="14.4" customHeight="1" x14ac:dyDescent="0.3">
      <c r="A39" s="17" t="s">
        <v>83</v>
      </c>
      <c r="B39" s="17"/>
      <c r="C39" s="17"/>
      <c r="D39" s="17"/>
      <c r="E39" s="17"/>
      <c r="F39" s="17"/>
      <c r="G39" s="17"/>
      <c r="H39" s="17"/>
    </row>
    <row r="40" spans="1:8" ht="14.4" customHeight="1" x14ac:dyDescent="0.3">
      <c r="A40" s="17"/>
      <c r="B40" s="17"/>
      <c r="C40" s="17"/>
      <c r="D40" s="17"/>
      <c r="E40" s="17"/>
      <c r="F40" s="17"/>
      <c r="G40" s="17"/>
      <c r="H40" s="17"/>
    </row>
    <row r="41" spans="1:8" ht="15.6" x14ac:dyDescent="0.3">
      <c r="A41" s="18" t="s">
        <v>85</v>
      </c>
      <c r="B41" s="18"/>
      <c r="C41" s="18"/>
      <c r="D41" s="18"/>
      <c r="E41" s="18"/>
      <c r="F41" s="18"/>
      <c r="G41" s="18"/>
      <c r="H41" s="18"/>
    </row>
    <row r="42" spans="1:8" ht="15.6" x14ac:dyDescent="0.3">
      <c r="A42" s="18" t="s">
        <v>84</v>
      </c>
      <c r="B42" s="18"/>
      <c r="C42" s="18"/>
      <c r="D42" s="18"/>
      <c r="E42" s="18"/>
      <c r="F42" s="18"/>
      <c r="G42" s="18"/>
      <c r="H42" s="18"/>
    </row>
    <row r="43" spans="1:8" ht="15.6" x14ac:dyDescent="0.3">
      <c r="A43" s="18" t="s">
        <v>86</v>
      </c>
      <c r="B43" s="18"/>
      <c r="C43" s="18"/>
      <c r="D43" s="18"/>
      <c r="E43" s="18"/>
      <c r="F43" s="18"/>
      <c r="G43" s="18"/>
      <c r="H43" s="18"/>
    </row>
    <row r="44" spans="1:8" ht="15.6" x14ac:dyDescent="0.3">
      <c r="A44" s="18" t="s">
        <v>87</v>
      </c>
      <c r="B44" s="18"/>
      <c r="C44" s="18"/>
      <c r="D44" s="18"/>
      <c r="E44" s="18"/>
      <c r="F44" s="18"/>
      <c r="G44" s="18"/>
      <c r="H44" s="18"/>
    </row>
    <row r="45" spans="1:8" ht="18" x14ac:dyDescent="0.35"/>
  </sheetData>
  <mergeCells count="7">
    <mergeCell ref="A1:H2"/>
    <mergeCell ref="A3:H3"/>
    <mergeCell ref="A39:H40"/>
    <mergeCell ref="A41:H41"/>
    <mergeCell ref="A42:H42"/>
    <mergeCell ref="A43:H43"/>
    <mergeCell ref="A44:H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Pivot_Analysis</vt:lpstr>
      <vt:lpstr>Pivot_Monthly</vt:lpstr>
      <vt:lpstr>Pivot_City</vt:lpstr>
      <vt:lpstr>Pivot_Product</vt:lpstr>
      <vt:lpstr>Raw_Data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Ponniyen Selvan</dc:creator>
  <cp:lastModifiedBy>Ponniyen Selvan</cp:lastModifiedBy>
  <dcterms:created xsi:type="dcterms:W3CDTF">2026-10-02T16:46:21Z</dcterms:created>
  <dcterms:modified xsi:type="dcterms:W3CDTF">2026-10-03T06:46:43Z</dcterms:modified>
</cp:coreProperties>
</file>